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3 Code_s\YOLOspine-2May25\Plots\"/>
    </mc:Choice>
  </mc:AlternateContent>
  <xr:revisionPtr revIDLastSave="0" documentId="13_ncr:1_{69EAFD4A-3FE5-4257-A113-B3E9A7053EC6}" xr6:coauthVersionLast="47" xr6:coauthVersionMax="47" xr10:uidLastSave="{00000000-0000-0000-0000-000000000000}"/>
  <bookViews>
    <workbookView xWindow="4044" yWindow="4044" windowWidth="23040" windowHeight="13560" firstSheet="2" activeTab="10" xr2:uid="{C284B38B-F440-4B85-B77D-019EB5B69146}"/>
  </bookViews>
  <sheets>
    <sheet name="Train-CM (2)" sheetId="10" r:id="rId1"/>
    <sheet name="Train-CM" sheetId="2" r:id="rId2"/>
    <sheet name="Trg_CM" sheetId="11" r:id="rId3"/>
    <sheet name="Val-CM" sheetId="7" r:id="rId4"/>
    <sheet name="CMs_Combined" sheetId="12" r:id="rId5"/>
    <sheet name="Test-CM" sheetId="6" r:id="rId6"/>
    <sheet name="Train-Score" sheetId="3" r:id="rId7"/>
    <sheet name="Sheet1" sheetId="14" r:id="rId8"/>
    <sheet name="Test-Score" sheetId="5" r:id="rId9"/>
    <sheet name="Time" sheetId="9" r:id="rId10"/>
    <sheet name="mAP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3" l="1"/>
  <c r="C21" i="9"/>
  <c r="C20" i="9"/>
  <c r="C19" i="9"/>
  <c r="L30" i="13"/>
  <c r="J30" i="13"/>
  <c r="H30" i="13"/>
  <c r="F30" i="13"/>
  <c r="D30" i="13"/>
  <c r="B30" i="13"/>
  <c r="M19" i="13"/>
  <c r="B19" i="13"/>
  <c r="L19" i="13"/>
  <c r="K19" i="13"/>
  <c r="J19" i="13"/>
  <c r="I19" i="13"/>
  <c r="H19" i="13"/>
  <c r="G19" i="13"/>
  <c r="F19" i="13"/>
  <c r="E19" i="13"/>
  <c r="D19" i="13"/>
  <c r="C19" i="13"/>
  <c r="M9" i="13"/>
  <c r="L9" i="13"/>
  <c r="K9" i="13"/>
  <c r="J9" i="13"/>
  <c r="I9" i="13"/>
  <c r="H9" i="13"/>
  <c r="G9" i="13"/>
  <c r="F9" i="13"/>
  <c r="E9" i="13"/>
  <c r="D9" i="13"/>
  <c r="C9" i="13"/>
  <c r="B9" i="13"/>
  <c r="Q40" i="5"/>
  <c r="R40" i="5"/>
  <c r="S40" i="5"/>
  <c r="T40" i="5"/>
  <c r="U40" i="5"/>
  <c r="V40" i="5"/>
  <c r="W40" i="5"/>
  <c r="X40" i="5"/>
  <c r="Y40" i="5"/>
  <c r="Z40" i="5"/>
  <c r="AA40" i="5"/>
  <c r="P40" i="5"/>
  <c r="K44" i="12"/>
  <c r="K50" i="12"/>
  <c r="K56" i="12"/>
  <c r="K62" i="12"/>
  <c r="K68" i="12"/>
  <c r="K74" i="12"/>
  <c r="K80" i="12"/>
  <c r="K86" i="12"/>
  <c r="K92" i="12"/>
  <c r="K98" i="12"/>
  <c r="K104" i="12"/>
  <c r="K26" i="12"/>
  <c r="K32" i="12"/>
  <c r="K38" i="12"/>
  <c r="K14" i="12"/>
  <c r="K8" i="12"/>
  <c r="K20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2" i="12"/>
  <c r="J5" i="11"/>
  <c r="J6" i="11"/>
  <c r="J7" i="11"/>
  <c r="J4" i="11"/>
  <c r="J3" i="11"/>
  <c r="J2" i="11"/>
  <c r="J79" i="11"/>
  <c r="J78" i="11"/>
  <c r="J77" i="11"/>
  <c r="J76" i="11"/>
  <c r="J75" i="11"/>
  <c r="J74" i="11"/>
  <c r="J71" i="11"/>
  <c r="J70" i="11"/>
  <c r="J69" i="11"/>
  <c r="J68" i="11"/>
  <c r="J67" i="11"/>
  <c r="J66" i="11"/>
  <c r="J63" i="11"/>
  <c r="J62" i="11"/>
  <c r="J61" i="11"/>
  <c r="J60" i="11"/>
  <c r="J59" i="11"/>
  <c r="J58" i="11"/>
  <c r="J55" i="11"/>
  <c r="J54" i="11"/>
  <c r="J53" i="11"/>
  <c r="J52" i="11"/>
  <c r="J51" i="11"/>
  <c r="J50" i="11"/>
  <c r="J47" i="11"/>
  <c r="J46" i="11"/>
  <c r="J45" i="11"/>
  <c r="J44" i="11"/>
  <c r="J43" i="11"/>
  <c r="J42" i="11"/>
  <c r="T8" i="6"/>
  <c r="T7" i="6"/>
  <c r="T6" i="6"/>
  <c r="T5" i="6"/>
  <c r="T4" i="6"/>
  <c r="T3" i="6"/>
  <c r="S44" i="7"/>
  <c r="S43" i="7"/>
  <c r="S42" i="7"/>
  <c r="S41" i="7"/>
  <c r="S40" i="7"/>
  <c r="S39" i="7"/>
  <c r="S35" i="7"/>
  <c r="S34" i="7"/>
  <c r="S33" i="7"/>
  <c r="S32" i="7"/>
  <c r="S31" i="7"/>
  <c r="S30" i="7"/>
  <c r="S26" i="7"/>
  <c r="S25" i="7"/>
  <c r="S24" i="7"/>
  <c r="S23" i="7"/>
  <c r="S22" i="7"/>
  <c r="S21" i="7"/>
  <c r="S17" i="7"/>
  <c r="S16" i="7"/>
  <c r="S15" i="7"/>
  <c r="S14" i="7"/>
  <c r="S13" i="7"/>
  <c r="S12" i="7"/>
  <c r="S4" i="7"/>
  <c r="S5" i="7"/>
  <c r="S6" i="7"/>
  <c r="S7" i="7"/>
  <c r="S8" i="7"/>
  <c r="S3" i="7"/>
  <c r="P38" i="2"/>
  <c r="O38" i="2"/>
  <c r="N38" i="2"/>
  <c r="V27" i="2"/>
  <c r="V26" i="2"/>
  <c r="V25" i="2"/>
  <c r="V24" i="2"/>
  <c r="V23" i="2"/>
  <c r="V22" i="2"/>
  <c r="U23" i="2"/>
  <c r="U24" i="2"/>
  <c r="U25" i="2"/>
  <c r="U26" i="2"/>
  <c r="U27" i="2"/>
  <c r="U22" i="2"/>
  <c r="N29" i="2"/>
  <c r="R27" i="2"/>
  <c r="T27" i="2" s="1"/>
  <c r="S23" i="2"/>
  <c r="T23" i="2"/>
  <c r="S24" i="2"/>
  <c r="T24" i="2"/>
  <c r="S25" i="2"/>
  <c r="T25" i="2"/>
  <c r="S26" i="2"/>
  <c r="T26" i="2"/>
  <c r="S27" i="2"/>
  <c r="T22" i="2"/>
  <c r="S22" i="2"/>
  <c r="O28" i="2"/>
  <c r="P28" i="2"/>
  <c r="N28" i="2"/>
  <c r="R23" i="2"/>
  <c r="R24" i="2"/>
  <c r="R25" i="2"/>
  <c r="R26" i="2"/>
  <c r="R22" i="2"/>
  <c r="B19" i="2"/>
  <c r="M40" i="5"/>
  <c r="L40" i="5"/>
  <c r="K40" i="5"/>
  <c r="J40" i="5"/>
  <c r="I40" i="5"/>
  <c r="M32" i="5"/>
  <c r="L32" i="5"/>
  <c r="K32" i="5"/>
  <c r="J32" i="5"/>
  <c r="I32" i="5"/>
  <c r="M24" i="5"/>
  <c r="L24" i="5"/>
  <c r="K24" i="5"/>
  <c r="J24" i="5"/>
  <c r="I24" i="5"/>
  <c r="M16" i="5"/>
  <c r="L16" i="5"/>
  <c r="K16" i="5"/>
  <c r="J16" i="5"/>
  <c r="I16" i="5"/>
  <c r="J8" i="5"/>
  <c r="K8" i="5"/>
  <c r="L8" i="5"/>
  <c r="M8" i="5"/>
  <c r="I8" i="5"/>
  <c r="N40" i="3"/>
  <c r="L40" i="3"/>
  <c r="K40" i="3"/>
  <c r="J40" i="3"/>
  <c r="I40" i="3"/>
  <c r="N32" i="3"/>
  <c r="L32" i="3"/>
  <c r="K32" i="3"/>
  <c r="J32" i="3"/>
  <c r="I32" i="3"/>
  <c r="N24" i="3"/>
  <c r="L24" i="3"/>
  <c r="K24" i="3"/>
  <c r="J24" i="3"/>
  <c r="I24" i="3"/>
  <c r="N16" i="3"/>
  <c r="L16" i="3"/>
  <c r="K16" i="3"/>
  <c r="J16" i="3"/>
  <c r="I16" i="3"/>
  <c r="N8" i="3"/>
  <c r="J8" i="3"/>
  <c r="K8" i="3"/>
  <c r="L8" i="3"/>
  <c r="I8" i="3"/>
  <c r="I52" i="10"/>
  <c r="H51" i="10"/>
  <c r="H50" i="10"/>
  <c r="H49" i="10"/>
  <c r="H48" i="10"/>
  <c r="H47" i="10"/>
  <c r="H46" i="10"/>
  <c r="H52" i="10" s="1"/>
  <c r="I44" i="10"/>
  <c r="H43" i="10"/>
  <c r="H42" i="10"/>
  <c r="H41" i="10"/>
  <c r="H40" i="10"/>
  <c r="H39" i="10"/>
  <c r="H38" i="10"/>
  <c r="H44" i="10" s="1"/>
  <c r="I36" i="10"/>
  <c r="H35" i="10"/>
  <c r="H34" i="10"/>
  <c r="H33" i="10"/>
  <c r="H32" i="10"/>
  <c r="H36" i="10" s="1"/>
  <c r="H31" i="10"/>
  <c r="H30" i="10"/>
  <c r="I28" i="10"/>
  <c r="H27" i="10"/>
  <c r="H26" i="10"/>
  <c r="H25" i="10"/>
  <c r="H24" i="10"/>
  <c r="H23" i="10"/>
  <c r="H22" i="10"/>
  <c r="H28" i="10" s="1"/>
  <c r="I19" i="10"/>
  <c r="G19" i="10"/>
  <c r="F19" i="10"/>
  <c r="E19" i="10"/>
  <c r="D19" i="10"/>
  <c r="C19" i="10"/>
  <c r="B19" i="10"/>
  <c r="H18" i="10"/>
  <c r="H17" i="10"/>
  <c r="H16" i="10"/>
  <c r="H15" i="10"/>
  <c r="H14" i="10"/>
  <c r="H13" i="10"/>
  <c r="H9" i="10"/>
  <c r="G9" i="10"/>
  <c r="F9" i="10"/>
  <c r="E9" i="10"/>
  <c r="D9" i="10"/>
  <c r="C9" i="10"/>
  <c r="B9" i="10"/>
  <c r="I8" i="10"/>
  <c r="I7" i="10"/>
  <c r="I6" i="10"/>
  <c r="I5" i="10"/>
  <c r="I4" i="10"/>
  <c r="I3" i="10"/>
  <c r="I2" i="10"/>
  <c r="I9" i="10" s="1"/>
  <c r="H12" i="6"/>
  <c r="H13" i="6"/>
  <c r="H14" i="6"/>
  <c r="H15" i="6"/>
  <c r="H16" i="6"/>
  <c r="H19" i="6"/>
  <c r="H25" i="6" s="1"/>
  <c r="H20" i="6"/>
  <c r="H21" i="6"/>
  <c r="H22" i="6"/>
  <c r="H23" i="6"/>
  <c r="H24" i="6"/>
  <c r="H27" i="6"/>
  <c r="H33" i="6" s="1"/>
  <c r="H28" i="6"/>
  <c r="H29" i="6"/>
  <c r="H30" i="6"/>
  <c r="H31" i="6"/>
  <c r="H32" i="6"/>
  <c r="H34" i="6"/>
  <c r="H41" i="6" s="1"/>
  <c r="H35" i="6"/>
  <c r="H36" i="6"/>
  <c r="H37" i="6"/>
  <c r="H38" i="6"/>
  <c r="H39" i="6"/>
  <c r="H40" i="6"/>
  <c r="H11" i="6"/>
  <c r="H17" i="6" s="1"/>
  <c r="I41" i="6"/>
  <c r="I33" i="6"/>
  <c r="I25" i="6"/>
  <c r="I17" i="6"/>
  <c r="I8" i="6"/>
  <c r="I41" i="7"/>
  <c r="I33" i="7"/>
  <c r="I25" i="7"/>
  <c r="I17" i="7"/>
  <c r="I8" i="7"/>
  <c r="H41" i="7"/>
  <c r="H40" i="7"/>
  <c r="H36" i="7"/>
  <c r="H37" i="7"/>
  <c r="H38" i="7"/>
  <c r="H39" i="7"/>
  <c r="H35" i="7"/>
  <c r="H33" i="7"/>
  <c r="H25" i="7"/>
  <c r="H17" i="7"/>
  <c r="H24" i="7"/>
  <c r="H28" i="7"/>
  <c r="H29" i="7"/>
  <c r="H30" i="7"/>
  <c r="H31" i="7"/>
  <c r="H32" i="7"/>
  <c r="H27" i="7"/>
  <c r="H20" i="7"/>
  <c r="H21" i="7"/>
  <c r="H22" i="7"/>
  <c r="H23" i="7"/>
  <c r="H19" i="7"/>
  <c r="H12" i="7"/>
  <c r="H13" i="7"/>
  <c r="H14" i="7"/>
  <c r="H15" i="7"/>
  <c r="H16" i="7"/>
  <c r="H11" i="7"/>
  <c r="H52" i="2"/>
  <c r="H44" i="2"/>
  <c r="H31" i="2"/>
  <c r="H36" i="2" s="1"/>
  <c r="H32" i="2"/>
  <c r="H33" i="2"/>
  <c r="H34" i="2"/>
  <c r="H35" i="2"/>
  <c r="H38" i="2"/>
  <c r="H39" i="2"/>
  <c r="H40" i="2"/>
  <c r="H41" i="2"/>
  <c r="H42" i="2"/>
  <c r="H43" i="2"/>
  <c r="H46" i="2"/>
  <c r="H47" i="2"/>
  <c r="H48" i="2"/>
  <c r="H49" i="2"/>
  <c r="H50" i="2"/>
  <c r="H51" i="2"/>
  <c r="H30" i="2"/>
  <c r="I52" i="2"/>
  <c r="I44" i="2"/>
  <c r="I36" i="2"/>
  <c r="I28" i="2"/>
  <c r="H23" i="2"/>
  <c r="H28" i="2" s="1"/>
  <c r="H24" i="2"/>
  <c r="H25" i="2"/>
  <c r="H26" i="2"/>
  <c r="H27" i="2"/>
  <c r="H22" i="2"/>
  <c r="H3" i="6"/>
  <c r="H4" i="6"/>
  <c r="H5" i="6"/>
  <c r="H6" i="6"/>
  <c r="H7" i="6"/>
  <c r="H2" i="6"/>
  <c r="H8" i="6" s="1"/>
  <c r="H3" i="7"/>
  <c r="H4" i="7"/>
  <c r="H5" i="7"/>
  <c r="H6" i="7"/>
  <c r="H7" i="7"/>
  <c r="H2" i="7"/>
  <c r="C8" i="7"/>
  <c r="H8" i="7" s="1"/>
  <c r="D8" i="7"/>
  <c r="E8" i="7"/>
  <c r="F8" i="7"/>
  <c r="G8" i="7"/>
  <c r="B8" i="7"/>
  <c r="C8" i="6"/>
  <c r="D8" i="6"/>
  <c r="E8" i="6"/>
  <c r="F8" i="6"/>
  <c r="G8" i="6"/>
  <c r="B8" i="6"/>
  <c r="I19" i="2"/>
  <c r="G19" i="2"/>
  <c r="F19" i="2"/>
  <c r="E19" i="2"/>
  <c r="D19" i="2"/>
  <c r="C19" i="2"/>
  <c r="H18" i="2"/>
  <c r="H17" i="2"/>
  <c r="H16" i="2"/>
  <c r="H15" i="2"/>
  <c r="H14" i="2"/>
  <c r="H13" i="2"/>
  <c r="I3" i="2"/>
  <c r="I9" i="2" s="1"/>
  <c r="I4" i="2"/>
  <c r="I5" i="2"/>
  <c r="I6" i="2"/>
  <c r="I7" i="2"/>
  <c r="I8" i="2"/>
  <c r="I2" i="2"/>
  <c r="C9" i="2"/>
  <c r="D9" i="2"/>
  <c r="E9" i="2"/>
  <c r="F9" i="2"/>
  <c r="G9" i="2"/>
  <c r="H9" i="2"/>
  <c r="B9" i="2"/>
  <c r="H19" i="10" l="1"/>
  <c r="H19" i="2"/>
</calcChain>
</file>

<file path=xl/sharedStrings.xml><?xml version="1.0" encoding="utf-8"?>
<sst xmlns="http://schemas.openxmlformats.org/spreadsheetml/2006/main" count="1200" uniqueCount="123">
  <si>
    <t>Normal IVD</t>
  </si>
  <si>
    <t>Spondylolisthesis</t>
  </si>
  <si>
    <t>background</t>
  </si>
  <si>
    <t>Training Set Summary (Instances per class):</t>
  </si>
  <si>
    <t>----------------------------------------</t>
  </si>
  <si>
    <t>Normal IVD                : 2902</t>
  </si>
  <si>
    <t>Spondylolisthesis         : 85</t>
  </si>
  <si>
    <t>Total                     : 6257</t>
  </si>
  <si>
    <t>Total</t>
  </si>
  <si>
    <t>Actual</t>
  </si>
  <si>
    <t>Class</t>
  </si>
  <si>
    <t>Precision</t>
  </si>
  <si>
    <t>Recall</t>
  </si>
  <si>
    <t>mAP50</t>
  </si>
  <si>
    <t>mAP50-95</t>
  </si>
  <si>
    <t>Jaccard</t>
  </si>
  <si>
    <t>AUC</t>
  </si>
  <si>
    <t>Validation (207 images) Set Summary (Instances per class):</t>
  </si>
  <si>
    <t>Normal IVD                : 815</t>
  </si>
  <si>
    <t>Spondylolisthesis         : 20</t>
  </si>
  <si>
    <t>Total                     : 1812</t>
  </si>
  <si>
    <t>Test (105 Images) Set Summary (Instances per class):</t>
  </si>
  <si>
    <t>Normal IVD                : 414</t>
  </si>
  <si>
    <t>Spondylolisthesis         : 17</t>
  </si>
  <si>
    <t>Total                     : 922</t>
  </si>
  <si>
    <t>Total Training Time: 2427.78 seconds</t>
  </si>
  <si>
    <t>Average Time per Epoch: 12.14 seconds</t>
  </si>
  <si>
    <t>Test Inference Time: 50.64 seconds</t>
  </si>
  <si>
    <t>Total Training Time: 2771.06 seconds</t>
  </si>
  <si>
    <t>Average Time per Epoch: 13.86 seconds</t>
  </si>
  <si>
    <t>Test Inference Time: 45.37 seconds</t>
  </si>
  <si>
    <t>Total Training Time: 2655.24 seconds</t>
  </si>
  <si>
    <t>Average Time per Epoch: 13.28 seconds</t>
  </si>
  <si>
    <t>Test Inference Time: 43.00 seconds</t>
  </si>
  <si>
    <t>Total Training Time: 2567.28 seconds</t>
  </si>
  <si>
    <t>Average Time per Epoch: 12.84 seconds</t>
  </si>
  <si>
    <t>Test Inference Time: 41.22 seconds</t>
  </si>
  <si>
    <t>Total Training Time: 3391.40 seconds</t>
  </si>
  <si>
    <t>Average Time per Epoch: 16.96 seconds</t>
  </si>
  <si>
    <t>Test Inference Time: 41.78 seconds</t>
  </si>
  <si>
    <t>YOLO11</t>
  </si>
  <si>
    <t>YOLO10</t>
  </si>
  <si>
    <t>YOLO9</t>
  </si>
  <si>
    <t>YOLO8</t>
  </si>
  <si>
    <t>YOLO12</t>
  </si>
  <si>
    <t>DDD</t>
  </si>
  <si>
    <t>SS</t>
  </si>
  <si>
    <t>LDB</t>
  </si>
  <si>
    <t>TDB</t>
  </si>
  <si>
    <t>LDB   : 1416</t>
  </si>
  <si>
    <t>TDB : 103</t>
  </si>
  <si>
    <t>TDB : 25</t>
  </si>
  <si>
    <t>TDB : 23</t>
  </si>
  <si>
    <t>SS      : 1319</t>
  </si>
  <si>
    <t>SS      : 407</t>
  </si>
  <si>
    <t>SS      : 195</t>
  </si>
  <si>
    <t>LDB   : 417</t>
  </si>
  <si>
    <t>LDB   : 200</t>
  </si>
  <si>
    <t>DDD : 432</t>
  </si>
  <si>
    <t>DDD : 128</t>
  </si>
  <si>
    <t>DDD : 73</t>
  </si>
  <si>
    <t>My dataset has overlapping classes. So its a challenging data.</t>
  </si>
  <si>
    <t>- Normal IVDs are most in number but the size of bounding box is on average equivalent to Lumbar Disc Bulge. So they can be confused.</t>
  </si>
  <si>
    <t>- Spinal Stenosis is shortest bounding box. So it can be missed at all, lesser chances of confusion.</t>
  </si>
  <si>
    <t>- LDB has shown overlap with SS. LDB bounding box is larger than SS.</t>
  </si>
  <si>
    <t>- TDB is in the upper region of spine, so it can be confused with Normal IVD or DDD.</t>
  </si>
  <si>
    <t>- DDD can be confused with LDB, TDB.</t>
  </si>
  <si>
    <t>- Spondylolisthesis overlaps SS, LDB, DDD and may very very rarely overlap with Normal IVD.</t>
  </si>
  <si>
    <t>Never with TDB.</t>
  </si>
  <si>
    <t>Predicted \ True</t>
  </si>
  <si>
    <t>Total (Predicted)</t>
  </si>
  <si>
    <t>Total (Actual)</t>
  </si>
  <si>
    <t>TP</t>
  </si>
  <si>
    <t>FP</t>
  </si>
  <si>
    <t>FN</t>
  </si>
  <si>
    <t>TN</t>
  </si>
  <si>
    <t>TP+TN</t>
  </si>
  <si>
    <t>Accuracy</t>
  </si>
  <si>
    <t>TP+FP+FN+TN</t>
  </si>
  <si>
    <t>TP+FP+FN</t>
  </si>
  <si>
    <t>Predicted</t>
  </si>
  <si>
    <t>DDD (73)</t>
  </si>
  <si>
    <t>Normal IVD (414)</t>
  </si>
  <si>
    <t>SS (195)</t>
  </si>
  <si>
    <t>Spondylolisthesis (17)</t>
  </si>
  <si>
    <t>LDB (200)</t>
  </si>
  <si>
    <t>TDB (23)</t>
  </si>
  <si>
    <t>TRAINING METRICS</t>
  </si>
  <si>
    <t>VALIDATION METRICS</t>
  </si>
  <si>
    <t>Model</t>
  </si>
  <si>
    <t>Split</t>
  </si>
  <si>
    <t>True Label</t>
  </si>
  <si>
    <t>YOLOs</t>
  </si>
  <si>
    <t>Training</t>
  </si>
  <si>
    <t>Validation</t>
  </si>
  <si>
    <t>Testing</t>
  </si>
  <si>
    <t>mAP</t>
  </si>
  <si>
    <t>YOLOs_mAP50</t>
  </si>
  <si>
    <t>YOLOs_mAP50-95</t>
  </si>
  <si>
    <t>YOLO8_mAP50</t>
  </si>
  <si>
    <t>YOLO8_mAP50-95</t>
  </si>
  <si>
    <t>CLINICAL VALIDATION</t>
  </si>
  <si>
    <t>Avg time per image</t>
  </si>
  <si>
    <t>Total time per 50 images</t>
  </si>
  <si>
    <t>Model Variant</t>
  </si>
  <si>
    <t>GELAN</t>
  </si>
  <si>
    <t>R-ELAN</t>
  </si>
  <si>
    <t>Area Attention (A²)</t>
  </si>
  <si>
    <t>Two-Stage (RoIAlign)</t>
  </si>
  <si>
    <t>Soft-NMS</t>
  </si>
  <si>
    <t>mAP$_{50-95}$ (%)</t>
  </si>
  <si>
    <t>F1-score</t>
  </si>
  <si>
    <t>GPU Usage (GB)</t>
  </si>
  <si>
    <t>Training Time (hrs)</t>
  </si>
  <si>
    <t>YOLOspine (Full)</t>
  </si>
  <si>
    <t>✓</t>
  </si>
  <si>
    <t>Without Area Attention (A²)</t>
  </si>
  <si>
    <t>✗</t>
  </si>
  <si>
    <t>Without R-ELAN</t>
  </si>
  <si>
    <t>Without RoIAlign (Stage 2 Head)</t>
  </si>
  <si>
    <t>Without Soft-NMS</t>
  </si>
  <si>
    <t>Without Area Attention &amp; RoIAlign</t>
  </si>
  <si>
    <t>YOLO12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</si>
</sst>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/>
    <xf numFmtId="0" fontId="16" fillId="33" borderId="0" xfId="0" applyFont="1" applyFill="1"/>
    <xf numFmtId="0" fontId="0" fillId="34" borderId="0" xfId="0" applyFill="1"/>
    <xf numFmtId="0" fontId="0" fillId="35" borderId="0" xfId="0" applyFill="1"/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0" borderId="0" xfId="0" quotePrefix="1"/>
    <xf numFmtId="0" fontId="0" fillId="36" borderId="0" xfId="0" applyFill="1"/>
    <xf numFmtId="0" fontId="0" fillId="37" borderId="0" xfId="0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horizont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34" borderId="0" xfId="0" applyFont="1" applyFill="1" applyAlignment="1">
      <alignment horizontal="center" vertical="center"/>
    </xf>
    <xf numFmtId="0" fontId="14" fillId="3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 vertical="center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45DD-025E-42AC-8FB9-AABDC2A0CE41}">
  <dimension ref="A1:O52"/>
  <sheetViews>
    <sheetView workbookViewId="0">
      <selection activeCell="P9" sqref="P9"/>
    </sheetView>
  </sheetViews>
  <sheetFormatPr defaultRowHeight="14.4" x14ac:dyDescent="0.3"/>
  <cols>
    <col min="1" max="1" width="14.88671875" bestFit="1" customWidth="1"/>
    <col min="2" max="2" width="4.6640625" bestFit="1" customWidth="1"/>
    <col min="3" max="3" width="10.109375" bestFit="1" customWidth="1"/>
    <col min="4" max="4" width="5" bestFit="1" customWidth="1"/>
    <col min="5" max="5" width="14.88671875" bestFit="1" customWidth="1"/>
    <col min="6" max="6" width="5" bestFit="1" customWidth="1"/>
    <col min="7" max="7" width="4.21875" bestFit="1" customWidth="1"/>
    <col min="8" max="8" width="10.44140625" bestFit="1" customWidth="1"/>
    <col min="15" max="15" width="36.109375" bestFit="1" customWidth="1"/>
  </cols>
  <sheetData>
    <row r="1" spans="1:15" x14ac:dyDescent="0.3">
      <c r="A1" s="1"/>
      <c r="B1" s="1" t="s">
        <v>45</v>
      </c>
      <c r="C1" s="1" t="s">
        <v>0</v>
      </c>
      <c r="D1" s="1" t="s">
        <v>46</v>
      </c>
      <c r="E1" s="1" t="s">
        <v>1</v>
      </c>
      <c r="F1" s="1" t="s">
        <v>47</v>
      </c>
      <c r="G1" s="1" t="s">
        <v>48</v>
      </c>
      <c r="H1" s="1" t="s">
        <v>2</v>
      </c>
      <c r="I1" s="1"/>
      <c r="J1" s="15">
        <v>12</v>
      </c>
    </row>
    <row r="2" spans="1:15" x14ac:dyDescent="0.3">
      <c r="A2" s="1" t="s">
        <v>45</v>
      </c>
      <c r="B2" s="1">
        <v>372</v>
      </c>
      <c r="C2" s="1">
        <v>1</v>
      </c>
      <c r="D2" s="1">
        <v>0</v>
      </c>
      <c r="E2" s="1">
        <v>0</v>
      </c>
      <c r="F2" s="1">
        <v>2</v>
      </c>
      <c r="G2" s="1">
        <v>1</v>
      </c>
      <c r="H2" s="1">
        <v>29</v>
      </c>
      <c r="I2" s="2">
        <f>SUM(B2:H2)</f>
        <v>405</v>
      </c>
      <c r="J2" s="16"/>
    </row>
    <row r="3" spans="1:15" x14ac:dyDescent="0.3">
      <c r="A3" s="1" t="s">
        <v>0</v>
      </c>
      <c r="B3" s="1">
        <v>2</v>
      </c>
      <c r="C3" s="1">
        <v>2869</v>
      </c>
      <c r="D3" s="1">
        <v>0</v>
      </c>
      <c r="E3" s="1">
        <v>0</v>
      </c>
      <c r="F3" s="1">
        <v>1</v>
      </c>
      <c r="G3" s="1">
        <v>1</v>
      </c>
      <c r="H3" s="1">
        <v>77</v>
      </c>
      <c r="I3" s="2">
        <f t="shared" ref="I3:I8" si="0">SUM(B3:H3)</f>
        <v>2950</v>
      </c>
      <c r="J3" s="16"/>
    </row>
    <row r="4" spans="1:15" x14ac:dyDescent="0.3">
      <c r="A4" s="1" t="s">
        <v>46</v>
      </c>
      <c r="B4" s="1">
        <v>0</v>
      </c>
      <c r="C4" s="1">
        <v>0</v>
      </c>
      <c r="D4" s="1">
        <v>1253</v>
      </c>
      <c r="E4" s="1">
        <v>0</v>
      </c>
      <c r="F4" s="1">
        <v>0</v>
      </c>
      <c r="G4" s="1">
        <v>0</v>
      </c>
      <c r="H4" s="1">
        <v>317</v>
      </c>
      <c r="I4" s="2">
        <f t="shared" si="0"/>
        <v>1570</v>
      </c>
      <c r="J4" s="16"/>
    </row>
    <row r="5" spans="1:15" x14ac:dyDescent="0.3">
      <c r="A5" s="1" t="s">
        <v>1</v>
      </c>
      <c r="B5" s="1">
        <v>0</v>
      </c>
      <c r="C5" s="1">
        <v>0</v>
      </c>
      <c r="D5" s="1">
        <v>0</v>
      </c>
      <c r="E5" s="1">
        <v>85</v>
      </c>
      <c r="F5" s="1">
        <v>0</v>
      </c>
      <c r="G5" s="1">
        <v>0</v>
      </c>
      <c r="H5" s="1">
        <v>8</v>
      </c>
      <c r="I5" s="2">
        <f t="shared" si="0"/>
        <v>93</v>
      </c>
      <c r="J5" s="16"/>
    </row>
    <row r="6" spans="1:15" x14ac:dyDescent="0.3">
      <c r="A6" s="1" t="s">
        <v>47</v>
      </c>
      <c r="B6" s="1">
        <v>13</v>
      </c>
      <c r="C6" s="1">
        <v>5</v>
      </c>
      <c r="D6" s="1">
        <v>0</v>
      </c>
      <c r="E6" s="1">
        <v>0</v>
      </c>
      <c r="F6" s="1">
        <v>1377</v>
      </c>
      <c r="G6" s="1">
        <v>0</v>
      </c>
      <c r="H6" s="1">
        <v>47</v>
      </c>
      <c r="I6" s="2">
        <f t="shared" si="0"/>
        <v>1442</v>
      </c>
      <c r="J6" s="16"/>
    </row>
    <row r="7" spans="1:15" x14ac:dyDescent="0.3">
      <c r="A7" s="1" t="s">
        <v>48</v>
      </c>
      <c r="B7" s="1">
        <v>5</v>
      </c>
      <c r="C7" s="1">
        <v>1</v>
      </c>
      <c r="D7" s="1">
        <v>0</v>
      </c>
      <c r="E7" s="1">
        <v>0</v>
      </c>
      <c r="F7" s="1">
        <v>0</v>
      </c>
      <c r="G7" s="1">
        <v>98</v>
      </c>
      <c r="H7" s="1">
        <v>9</v>
      </c>
      <c r="I7" s="2">
        <f t="shared" si="0"/>
        <v>113</v>
      </c>
      <c r="J7" s="16"/>
    </row>
    <row r="8" spans="1:15" x14ac:dyDescent="0.3">
      <c r="A8" s="1" t="s">
        <v>2</v>
      </c>
      <c r="B8" s="1">
        <v>40</v>
      </c>
      <c r="C8" s="1">
        <v>26</v>
      </c>
      <c r="D8" s="1">
        <v>66</v>
      </c>
      <c r="E8" s="1">
        <v>36</v>
      </c>
      <c r="F8" s="1">
        <v>36</v>
      </c>
      <c r="G8" s="1">
        <v>3</v>
      </c>
      <c r="H8" s="1">
        <v>0</v>
      </c>
      <c r="I8" s="2">
        <f t="shared" si="0"/>
        <v>207</v>
      </c>
      <c r="J8" s="16"/>
    </row>
    <row r="9" spans="1:15" x14ac:dyDescent="0.3">
      <c r="A9" s="1"/>
      <c r="B9" s="2">
        <f>SUM(B2:B8)</f>
        <v>432</v>
      </c>
      <c r="C9" s="2">
        <f t="shared" ref="C9:I9" si="1">SUM(C2:C8)</f>
        <v>2902</v>
      </c>
      <c r="D9" s="2">
        <f t="shared" si="1"/>
        <v>1319</v>
      </c>
      <c r="E9" s="2">
        <f t="shared" si="1"/>
        <v>121</v>
      </c>
      <c r="F9" s="2">
        <f t="shared" si="1"/>
        <v>1416</v>
      </c>
      <c r="G9" s="2">
        <f t="shared" si="1"/>
        <v>103</v>
      </c>
      <c r="H9" s="2">
        <f t="shared" si="1"/>
        <v>487</v>
      </c>
      <c r="I9" s="2">
        <f t="shared" si="1"/>
        <v>6780</v>
      </c>
      <c r="J9" s="16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6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6"/>
    </row>
    <row r="12" spans="1:15" x14ac:dyDescent="0.3">
      <c r="A12" s="1" t="s">
        <v>44</v>
      </c>
      <c r="B12" s="1" t="s">
        <v>45</v>
      </c>
      <c r="C12" s="1" t="s">
        <v>0</v>
      </c>
      <c r="D12" s="1" t="s">
        <v>46</v>
      </c>
      <c r="E12" s="1" t="s">
        <v>1</v>
      </c>
      <c r="F12" s="1" t="s">
        <v>47</v>
      </c>
      <c r="G12" s="1" t="s">
        <v>48</v>
      </c>
      <c r="H12" s="1" t="s">
        <v>8</v>
      </c>
      <c r="I12" s="1" t="s">
        <v>9</v>
      </c>
      <c r="J12" s="16"/>
    </row>
    <row r="13" spans="1:15" x14ac:dyDescent="0.3">
      <c r="A13" s="1" t="s">
        <v>45</v>
      </c>
      <c r="B13" s="1">
        <v>367</v>
      </c>
      <c r="C13" s="1">
        <v>22</v>
      </c>
      <c r="D13" s="1">
        <v>4</v>
      </c>
      <c r="E13" s="1">
        <v>2</v>
      </c>
      <c r="F13" s="1">
        <v>15</v>
      </c>
      <c r="G13" s="1">
        <v>22</v>
      </c>
      <c r="H13" s="2">
        <f>SUM(B13:G13)</f>
        <v>432</v>
      </c>
      <c r="I13" s="1">
        <v>432</v>
      </c>
      <c r="J13" s="16"/>
    </row>
    <row r="14" spans="1:15" x14ac:dyDescent="0.3">
      <c r="A14" s="1" t="s">
        <v>0</v>
      </c>
      <c r="B14" s="1">
        <v>46</v>
      </c>
      <c r="C14" s="1">
        <v>2698</v>
      </c>
      <c r="D14" s="1">
        <v>19</v>
      </c>
      <c r="E14" s="1">
        <v>5</v>
      </c>
      <c r="F14" s="1">
        <v>83</v>
      </c>
      <c r="G14" s="1">
        <v>51</v>
      </c>
      <c r="H14" s="2">
        <f t="shared" ref="H14:H18" si="2">SUM(B14:G14)</f>
        <v>2902</v>
      </c>
      <c r="I14" s="1">
        <v>2902</v>
      </c>
      <c r="J14" s="16"/>
      <c r="O14" t="s">
        <v>3</v>
      </c>
    </row>
    <row r="15" spans="1:15" x14ac:dyDescent="0.3">
      <c r="A15" s="1" t="s">
        <v>46</v>
      </c>
      <c r="B15" s="1">
        <v>34</v>
      </c>
      <c r="C15" s="1">
        <v>15</v>
      </c>
      <c r="D15" s="1">
        <v>1055</v>
      </c>
      <c r="E15" s="1">
        <v>13</v>
      </c>
      <c r="F15" s="1">
        <v>52</v>
      </c>
      <c r="G15" s="1">
        <v>65</v>
      </c>
      <c r="H15" s="2">
        <f t="shared" si="2"/>
        <v>1234</v>
      </c>
      <c r="I15" s="1">
        <v>1319</v>
      </c>
      <c r="J15" s="16"/>
      <c r="O15" t="s">
        <v>4</v>
      </c>
    </row>
    <row r="16" spans="1:15" x14ac:dyDescent="0.3">
      <c r="A16" s="1" t="s">
        <v>1</v>
      </c>
      <c r="B16" s="1">
        <v>3</v>
      </c>
      <c r="C16" s="1">
        <v>0</v>
      </c>
      <c r="D16" s="1">
        <v>3</v>
      </c>
      <c r="E16" s="1">
        <v>68</v>
      </c>
      <c r="F16" s="1">
        <v>11</v>
      </c>
      <c r="G16" s="1">
        <v>0</v>
      </c>
      <c r="H16" s="2">
        <f t="shared" si="2"/>
        <v>85</v>
      </c>
      <c r="I16" s="1">
        <v>85</v>
      </c>
      <c r="J16" s="16"/>
      <c r="O16" t="s">
        <v>5</v>
      </c>
    </row>
    <row r="17" spans="1:15" x14ac:dyDescent="0.3">
      <c r="A17" s="1" t="s">
        <v>47</v>
      </c>
      <c r="B17" s="1">
        <v>35</v>
      </c>
      <c r="C17" s="1">
        <v>68</v>
      </c>
      <c r="D17" s="1">
        <v>32</v>
      </c>
      <c r="E17" s="1">
        <v>7</v>
      </c>
      <c r="F17" s="1">
        <v>1274</v>
      </c>
      <c r="G17" s="1">
        <v>0</v>
      </c>
      <c r="H17" s="2">
        <f t="shared" si="2"/>
        <v>1416</v>
      </c>
      <c r="I17" s="1">
        <v>1416</v>
      </c>
      <c r="J17" s="16"/>
      <c r="O17" t="s">
        <v>58</v>
      </c>
    </row>
    <row r="18" spans="1:15" x14ac:dyDescent="0.3">
      <c r="A18" s="1" t="s">
        <v>48</v>
      </c>
      <c r="B18" s="1">
        <v>5</v>
      </c>
      <c r="C18" s="1">
        <v>1</v>
      </c>
      <c r="D18" s="1">
        <v>2</v>
      </c>
      <c r="E18" s="1">
        <v>0</v>
      </c>
      <c r="F18" s="1">
        <v>7</v>
      </c>
      <c r="G18" s="1">
        <v>88</v>
      </c>
      <c r="H18" s="2">
        <f t="shared" si="2"/>
        <v>103</v>
      </c>
      <c r="I18" s="1">
        <v>103</v>
      </c>
      <c r="J18" s="16"/>
      <c r="O18" t="s">
        <v>53</v>
      </c>
    </row>
    <row r="19" spans="1:15" x14ac:dyDescent="0.3">
      <c r="A19" s="1"/>
      <c r="B19" s="2">
        <f>SUM(B13:B18)</f>
        <v>490</v>
      </c>
      <c r="C19" s="2">
        <f t="shared" ref="C19:G19" si="3">SUM(C13:C18)</f>
        <v>2804</v>
      </c>
      <c r="D19" s="2">
        <f t="shared" si="3"/>
        <v>1115</v>
      </c>
      <c r="E19" s="2">
        <f t="shared" si="3"/>
        <v>95</v>
      </c>
      <c r="F19" s="2">
        <f t="shared" si="3"/>
        <v>1442</v>
      </c>
      <c r="G19" s="2">
        <f t="shared" si="3"/>
        <v>226</v>
      </c>
      <c r="H19" s="2">
        <f>SUM(H13:H18)</f>
        <v>6172</v>
      </c>
      <c r="I19" s="2">
        <f>SUM(I13:I18)</f>
        <v>6257</v>
      </c>
      <c r="J19" s="17"/>
      <c r="O19" t="s">
        <v>49</v>
      </c>
    </row>
    <row r="20" spans="1:15" x14ac:dyDescent="0.3">
      <c r="O20" t="s">
        <v>6</v>
      </c>
    </row>
    <row r="21" spans="1:15" x14ac:dyDescent="0.3">
      <c r="A21" s="1" t="s">
        <v>40</v>
      </c>
      <c r="B21" t="s">
        <v>45</v>
      </c>
      <c r="C21" t="s">
        <v>0</v>
      </c>
      <c r="D21" t="s">
        <v>46</v>
      </c>
      <c r="E21" t="s">
        <v>1</v>
      </c>
      <c r="F21" t="s">
        <v>47</v>
      </c>
      <c r="G21" t="s">
        <v>48</v>
      </c>
      <c r="O21" t="s">
        <v>50</v>
      </c>
    </row>
    <row r="22" spans="1:15" x14ac:dyDescent="0.3">
      <c r="A22" t="s">
        <v>45</v>
      </c>
      <c r="B22">
        <v>391</v>
      </c>
      <c r="C22">
        <v>2</v>
      </c>
      <c r="D22">
        <v>0</v>
      </c>
      <c r="E22">
        <v>0</v>
      </c>
      <c r="F22">
        <v>4</v>
      </c>
      <c r="G22">
        <v>0</v>
      </c>
      <c r="H22">
        <f>SUM(B22:G22)</f>
        <v>397</v>
      </c>
      <c r="I22" s="1">
        <v>432</v>
      </c>
      <c r="J22" s="4"/>
      <c r="O22" t="s">
        <v>7</v>
      </c>
    </row>
    <row r="23" spans="1:15" x14ac:dyDescent="0.3">
      <c r="A23" t="s">
        <v>0</v>
      </c>
      <c r="B23">
        <v>2</v>
      </c>
      <c r="C23">
        <v>2874</v>
      </c>
      <c r="D23">
        <v>0</v>
      </c>
      <c r="E23">
        <v>0</v>
      </c>
      <c r="F23">
        <v>2</v>
      </c>
      <c r="G23">
        <v>0</v>
      </c>
      <c r="H23">
        <f t="shared" ref="H23:H27" si="4">SUM(B23:G23)</f>
        <v>2878</v>
      </c>
      <c r="I23" s="1">
        <v>2902</v>
      </c>
      <c r="J23" s="4"/>
      <c r="O23" t="s">
        <v>4</v>
      </c>
    </row>
    <row r="24" spans="1:15" x14ac:dyDescent="0.3">
      <c r="A24" t="s">
        <v>46</v>
      </c>
      <c r="B24">
        <v>0</v>
      </c>
      <c r="C24">
        <v>0</v>
      </c>
      <c r="D24">
        <v>1259</v>
      </c>
      <c r="E24">
        <v>0</v>
      </c>
      <c r="F24">
        <v>0</v>
      </c>
      <c r="G24">
        <v>0</v>
      </c>
      <c r="H24">
        <f t="shared" si="4"/>
        <v>1259</v>
      </c>
      <c r="I24" s="1">
        <v>1319</v>
      </c>
      <c r="J24" s="4"/>
    </row>
    <row r="25" spans="1:15" x14ac:dyDescent="0.3">
      <c r="A25" t="s">
        <v>1</v>
      </c>
      <c r="B25">
        <v>0</v>
      </c>
      <c r="C25">
        <v>0</v>
      </c>
      <c r="D25">
        <v>0</v>
      </c>
      <c r="E25">
        <v>83</v>
      </c>
      <c r="F25">
        <v>0</v>
      </c>
      <c r="G25">
        <v>0</v>
      </c>
      <c r="H25">
        <f t="shared" si="4"/>
        <v>83</v>
      </c>
      <c r="I25" s="1">
        <v>85</v>
      </c>
      <c r="J25" s="4"/>
    </row>
    <row r="26" spans="1:15" x14ac:dyDescent="0.3">
      <c r="A26" t="s">
        <v>47</v>
      </c>
      <c r="B26">
        <v>4</v>
      </c>
      <c r="C26">
        <v>6</v>
      </c>
      <c r="D26">
        <v>0</v>
      </c>
      <c r="E26">
        <v>1</v>
      </c>
      <c r="F26">
        <v>1379</v>
      </c>
      <c r="G26">
        <v>0</v>
      </c>
      <c r="H26">
        <f t="shared" si="4"/>
        <v>1390</v>
      </c>
      <c r="I26" s="1">
        <v>1416</v>
      </c>
      <c r="J26" s="4"/>
    </row>
    <row r="27" spans="1:15" x14ac:dyDescent="0.3">
      <c r="A27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100</v>
      </c>
      <c r="H27">
        <f t="shared" si="4"/>
        <v>100</v>
      </c>
      <c r="I27" s="1">
        <v>103</v>
      </c>
      <c r="J27" s="4"/>
    </row>
    <row r="28" spans="1:15" x14ac:dyDescent="0.3">
      <c r="H28">
        <f>SUM(H22:H27)</f>
        <v>6107</v>
      </c>
      <c r="I28" s="2">
        <f>SUM(I22:I27)</f>
        <v>6257</v>
      </c>
    </row>
    <row r="29" spans="1:15" x14ac:dyDescent="0.3">
      <c r="A29" s="8" t="s">
        <v>41</v>
      </c>
      <c r="B29" t="s">
        <v>45</v>
      </c>
      <c r="C29" t="s">
        <v>0</v>
      </c>
      <c r="D29" t="s">
        <v>46</v>
      </c>
      <c r="E29" t="s">
        <v>1</v>
      </c>
      <c r="F29" t="s">
        <v>47</v>
      </c>
      <c r="G29" t="s">
        <v>48</v>
      </c>
      <c r="J29" s="8"/>
    </row>
    <row r="30" spans="1:15" x14ac:dyDescent="0.3">
      <c r="A30" t="s">
        <v>45</v>
      </c>
      <c r="B30">
        <v>372</v>
      </c>
      <c r="C30">
        <v>0</v>
      </c>
      <c r="D30">
        <v>0</v>
      </c>
      <c r="E30">
        <v>0</v>
      </c>
      <c r="F30">
        <v>2</v>
      </c>
      <c r="G30">
        <v>2</v>
      </c>
      <c r="H30">
        <f>SUM(B30:G30)</f>
        <v>376</v>
      </c>
      <c r="I30" s="1">
        <v>432</v>
      </c>
      <c r="J30" s="8"/>
    </row>
    <row r="31" spans="1:15" x14ac:dyDescent="0.3">
      <c r="A31" t="s">
        <v>0</v>
      </c>
      <c r="B31">
        <v>3</v>
      </c>
      <c r="C31">
        <v>2857</v>
      </c>
      <c r="D31">
        <v>0</v>
      </c>
      <c r="E31">
        <v>0</v>
      </c>
      <c r="F31">
        <v>2</v>
      </c>
      <c r="G31">
        <v>0</v>
      </c>
      <c r="H31">
        <f t="shared" ref="H31:H51" si="5">SUM(B31:G31)</f>
        <v>2862</v>
      </c>
      <c r="I31" s="1">
        <v>2902</v>
      </c>
      <c r="J31" s="8"/>
    </row>
    <row r="32" spans="1:15" x14ac:dyDescent="0.3">
      <c r="A32" t="s">
        <v>46</v>
      </c>
      <c r="B32">
        <v>0</v>
      </c>
      <c r="C32">
        <v>0</v>
      </c>
      <c r="D32">
        <v>1217</v>
      </c>
      <c r="E32">
        <v>0</v>
      </c>
      <c r="F32">
        <v>0</v>
      </c>
      <c r="G32">
        <v>0</v>
      </c>
      <c r="H32">
        <f t="shared" si="5"/>
        <v>1217</v>
      </c>
      <c r="I32" s="1">
        <v>1319</v>
      </c>
      <c r="J32" s="8"/>
    </row>
    <row r="33" spans="1:10" x14ac:dyDescent="0.3">
      <c r="A33" t="s">
        <v>1</v>
      </c>
      <c r="B33">
        <v>0</v>
      </c>
      <c r="C33">
        <v>0</v>
      </c>
      <c r="D33">
        <v>0</v>
      </c>
      <c r="E33">
        <v>83</v>
      </c>
      <c r="F33">
        <v>0</v>
      </c>
      <c r="G33">
        <v>0</v>
      </c>
      <c r="H33">
        <f t="shared" si="5"/>
        <v>83</v>
      </c>
      <c r="I33" s="1">
        <v>85</v>
      </c>
      <c r="J33" s="8"/>
    </row>
    <row r="34" spans="1:10" x14ac:dyDescent="0.3">
      <c r="A34" t="s">
        <v>47</v>
      </c>
      <c r="B34">
        <v>7</v>
      </c>
      <c r="C34">
        <v>4</v>
      </c>
      <c r="D34">
        <v>0</v>
      </c>
      <c r="E34">
        <v>1</v>
      </c>
      <c r="F34">
        <v>1379</v>
      </c>
      <c r="G34">
        <v>0</v>
      </c>
      <c r="H34">
        <f t="shared" si="5"/>
        <v>1391</v>
      </c>
      <c r="I34" s="1">
        <v>1416</v>
      </c>
      <c r="J34" s="8"/>
    </row>
    <row r="35" spans="1:10" x14ac:dyDescent="0.3">
      <c r="A35" t="s">
        <v>48</v>
      </c>
      <c r="B35">
        <v>3</v>
      </c>
      <c r="C35">
        <v>2</v>
      </c>
      <c r="D35">
        <v>0</v>
      </c>
      <c r="E35">
        <v>0</v>
      </c>
      <c r="F35">
        <v>0</v>
      </c>
      <c r="G35">
        <v>97</v>
      </c>
      <c r="H35">
        <f t="shared" si="5"/>
        <v>102</v>
      </c>
      <c r="I35" s="1">
        <v>103</v>
      </c>
      <c r="J35" s="8"/>
    </row>
    <row r="36" spans="1:10" x14ac:dyDescent="0.3">
      <c r="H36">
        <f>SUM(H30:H35)</f>
        <v>6031</v>
      </c>
      <c r="I36" s="2">
        <f>SUM(I30:I35)</f>
        <v>6257</v>
      </c>
    </row>
    <row r="37" spans="1:10" x14ac:dyDescent="0.3">
      <c r="A37" s="3" t="s">
        <v>42</v>
      </c>
      <c r="B37" t="s">
        <v>45</v>
      </c>
      <c r="C37" t="s">
        <v>0</v>
      </c>
      <c r="D37" t="s">
        <v>46</v>
      </c>
      <c r="E37" t="s">
        <v>1</v>
      </c>
      <c r="F37" t="s">
        <v>47</v>
      </c>
      <c r="G37" t="s">
        <v>48</v>
      </c>
      <c r="J37" s="3"/>
    </row>
    <row r="38" spans="1:10" x14ac:dyDescent="0.3">
      <c r="A38" t="s">
        <v>45</v>
      </c>
      <c r="B38">
        <v>389</v>
      </c>
      <c r="C38">
        <v>0</v>
      </c>
      <c r="D38">
        <v>0</v>
      </c>
      <c r="E38">
        <v>0</v>
      </c>
      <c r="F38">
        <v>2</v>
      </c>
      <c r="G38">
        <v>0</v>
      </c>
      <c r="H38">
        <f t="shared" si="5"/>
        <v>391</v>
      </c>
      <c r="I38" s="1">
        <v>432</v>
      </c>
      <c r="J38" s="3"/>
    </row>
    <row r="39" spans="1:10" x14ac:dyDescent="0.3">
      <c r="A39" t="s">
        <v>0</v>
      </c>
      <c r="B39">
        <v>1</v>
      </c>
      <c r="C39">
        <v>2893</v>
      </c>
      <c r="D39">
        <v>0</v>
      </c>
      <c r="E39">
        <v>0</v>
      </c>
      <c r="F39">
        <v>1</v>
      </c>
      <c r="G39">
        <v>0</v>
      </c>
      <c r="H39">
        <f t="shared" si="5"/>
        <v>2895</v>
      </c>
      <c r="I39" s="1">
        <v>2902</v>
      </c>
      <c r="J39" s="3"/>
    </row>
    <row r="40" spans="1:10" x14ac:dyDescent="0.3">
      <c r="A40" t="s">
        <v>46</v>
      </c>
      <c r="B40">
        <v>0</v>
      </c>
      <c r="C40">
        <v>0</v>
      </c>
      <c r="D40">
        <v>1286</v>
      </c>
      <c r="E40">
        <v>0</v>
      </c>
      <c r="F40">
        <v>0</v>
      </c>
      <c r="G40">
        <v>0</v>
      </c>
      <c r="H40">
        <f t="shared" si="5"/>
        <v>1286</v>
      </c>
      <c r="I40" s="1">
        <v>1319</v>
      </c>
      <c r="J40" s="3"/>
    </row>
    <row r="41" spans="1:10" x14ac:dyDescent="0.3">
      <c r="A41" t="s">
        <v>1</v>
      </c>
      <c r="B41">
        <v>0</v>
      </c>
      <c r="C41">
        <v>0</v>
      </c>
      <c r="D41">
        <v>0</v>
      </c>
      <c r="E41">
        <v>85</v>
      </c>
      <c r="F41">
        <v>0</v>
      </c>
      <c r="G41">
        <v>0</v>
      </c>
      <c r="H41">
        <f t="shared" si="5"/>
        <v>85</v>
      </c>
      <c r="I41" s="1">
        <v>85</v>
      </c>
      <c r="J41" s="3"/>
    </row>
    <row r="42" spans="1:10" x14ac:dyDescent="0.3">
      <c r="A42" t="s">
        <v>47</v>
      </c>
      <c r="B42">
        <v>6</v>
      </c>
      <c r="C42">
        <v>0</v>
      </c>
      <c r="D42">
        <v>0</v>
      </c>
      <c r="E42">
        <v>0</v>
      </c>
      <c r="F42">
        <v>1390</v>
      </c>
      <c r="G42">
        <v>0</v>
      </c>
      <c r="H42">
        <f t="shared" si="5"/>
        <v>1396</v>
      </c>
      <c r="I42" s="1">
        <v>1416</v>
      </c>
      <c r="J42" s="3"/>
    </row>
    <row r="43" spans="1:10" x14ac:dyDescent="0.3">
      <c r="A43" t="s">
        <v>48</v>
      </c>
      <c r="B43">
        <v>1</v>
      </c>
      <c r="C43">
        <v>0</v>
      </c>
      <c r="D43">
        <v>0</v>
      </c>
      <c r="E43">
        <v>0</v>
      </c>
      <c r="F43">
        <v>0</v>
      </c>
      <c r="G43">
        <v>101</v>
      </c>
      <c r="H43">
        <f t="shared" si="5"/>
        <v>102</v>
      </c>
      <c r="I43" s="1">
        <v>103</v>
      </c>
      <c r="J43" s="3"/>
    </row>
    <row r="44" spans="1:10" x14ac:dyDescent="0.3">
      <c r="H44">
        <f>SUM(H38:H43)</f>
        <v>6155</v>
      </c>
      <c r="I44" s="2">
        <f>SUM(I38:I43)</f>
        <v>6257</v>
      </c>
    </row>
    <row r="45" spans="1:10" x14ac:dyDescent="0.3">
      <c r="A45" s="9" t="s">
        <v>43</v>
      </c>
      <c r="B45" t="s">
        <v>45</v>
      </c>
      <c r="C45" t="s">
        <v>0</v>
      </c>
      <c r="D45" t="s">
        <v>46</v>
      </c>
      <c r="E45" t="s">
        <v>1</v>
      </c>
      <c r="F45" t="s">
        <v>47</v>
      </c>
      <c r="G45" t="s">
        <v>48</v>
      </c>
    </row>
    <row r="46" spans="1:10" x14ac:dyDescent="0.3">
      <c r="A46" t="s">
        <v>45</v>
      </c>
      <c r="B46">
        <v>394</v>
      </c>
      <c r="C46">
        <v>0</v>
      </c>
      <c r="D46">
        <v>0</v>
      </c>
      <c r="E46">
        <v>0</v>
      </c>
      <c r="F46">
        <v>0</v>
      </c>
      <c r="G46">
        <v>1</v>
      </c>
      <c r="H46">
        <f t="shared" si="5"/>
        <v>395</v>
      </c>
      <c r="I46" s="1">
        <v>432</v>
      </c>
    </row>
    <row r="47" spans="1:10" x14ac:dyDescent="0.3">
      <c r="A47" t="s">
        <v>0</v>
      </c>
      <c r="B47">
        <v>0</v>
      </c>
      <c r="C47">
        <v>2891</v>
      </c>
      <c r="D47">
        <v>0</v>
      </c>
      <c r="E47">
        <v>0</v>
      </c>
      <c r="F47">
        <v>0</v>
      </c>
      <c r="G47">
        <v>0</v>
      </c>
      <c r="H47">
        <f t="shared" si="5"/>
        <v>2891</v>
      </c>
      <c r="I47" s="1">
        <v>2902</v>
      </c>
    </row>
    <row r="48" spans="1:10" x14ac:dyDescent="0.3">
      <c r="A48" t="s">
        <v>46</v>
      </c>
      <c r="B48">
        <v>0</v>
      </c>
      <c r="C48">
        <v>0</v>
      </c>
      <c r="D48">
        <v>1287</v>
      </c>
      <c r="E48">
        <v>0</v>
      </c>
      <c r="F48">
        <v>0</v>
      </c>
      <c r="G48">
        <v>0</v>
      </c>
      <c r="H48">
        <f t="shared" si="5"/>
        <v>1287</v>
      </c>
      <c r="I48" s="1">
        <v>1319</v>
      </c>
    </row>
    <row r="49" spans="1:9" x14ac:dyDescent="0.3">
      <c r="A49" t="s">
        <v>1</v>
      </c>
      <c r="B49">
        <v>0</v>
      </c>
      <c r="C49">
        <v>0</v>
      </c>
      <c r="D49">
        <v>0</v>
      </c>
      <c r="E49">
        <v>85</v>
      </c>
      <c r="F49">
        <v>0</v>
      </c>
      <c r="G49">
        <v>0</v>
      </c>
      <c r="H49">
        <f t="shared" si="5"/>
        <v>85</v>
      </c>
      <c r="I49" s="1">
        <v>85</v>
      </c>
    </row>
    <row r="50" spans="1:9" x14ac:dyDescent="0.3">
      <c r="A50" t="s">
        <v>47</v>
      </c>
      <c r="B50">
        <v>6</v>
      </c>
      <c r="C50">
        <v>0</v>
      </c>
      <c r="D50">
        <v>0</v>
      </c>
      <c r="E50">
        <v>0</v>
      </c>
      <c r="F50">
        <v>1384</v>
      </c>
      <c r="G50">
        <v>0</v>
      </c>
      <c r="H50">
        <f t="shared" si="5"/>
        <v>1390</v>
      </c>
      <c r="I50" s="1">
        <v>1416</v>
      </c>
    </row>
    <row r="51" spans="1:9" x14ac:dyDescent="0.3">
      <c r="A51" t="s">
        <v>48</v>
      </c>
      <c r="B51">
        <v>2</v>
      </c>
      <c r="C51">
        <v>0</v>
      </c>
      <c r="D51">
        <v>0</v>
      </c>
      <c r="E51">
        <v>0</v>
      </c>
      <c r="F51">
        <v>0</v>
      </c>
      <c r="G51">
        <v>98</v>
      </c>
      <c r="H51">
        <f t="shared" si="5"/>
        <v>100</v>
      </c>
      <c r="I51" s="1">
        <v>103</v>
      </c>
    </row>
    <row r="52" spans="1:9" x14ac:dyDescent="0.3">
      <c r="H52">
        <f>SUM(H46:H51)</f>
        <v>6148</v>
      </c>
      <c r="I52" s="2">
        <f>SUM(I46:I51)</f>
        <v>6257</v>
      </c>
    </row>
  </sheetData>
  <mergeCells count="1">
    <mergeCell ref="J1:J19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7904-0A4A-45D6-8BBD-3E96ECDADF65}">
  <dimension ref="A1:V52"/>
  <sheetViews>
    <sheetView topLeftCell="A17" workbookViewId="0">
      <selection activeCell="A37" sqref="A37:H52"/>
    </sheetView>
  </sheetViews>
  <sheetFormatPr defaultRowHeight="14.4" x14ac:dyDescent="0.3"/>
  <cols>
    <col min="1" max="1" width="14.88671875" bestFit="1" customWidth="1"/>
    <col min="2" max="2" width="4.6640625" bestFit="1" customWidth="1"/>
    <col min="3" max="3" width="10.109375" bestFit="1" customWidth="1"/>
    <col min="4" max="4" width="5" bestFit="1" customWidth="1"/>
    <col min="5" max="5" width="14.88671875" bestFit="1" customWidth="1"/>
    <col min="6" max="6" width="5" bestFit="1" customWidth="1"/>
    <col min="7" max="7" width="4.21875" bestFit="1" customWidth="1"/>
    <col min="8" max="8" width="10.44140625" bestFit="1" customWidth="1"/>
    <col min="12" max="12" width="36.109375" bestFit="1" customWidth="1"/>
    <col min="13" max="13" width="17" customWidth="1"/>
    <col min="14" max="14" width="5" bestFit="1" customWidth="1"/>
    <col min="15" max="15" width="10.44140625" bestFit="1" customWidth="1"/>
    <col min="16" max="16" width="5" bestFit="1" customWidth="1"/>
    <col min="17" max="17" width="17" customWidth="1"/>
    <col min="18" max="18" width="12.6640625" bestFit="1" customWidth="1"/>
    <col min="19" max="19" width="6.21875" bestFit="1" customWidth="1"/>
    <col min="20" max="20" width="15.109375" bestFit="1" customWidth="1"/>
  </cols>
  <sheetData>
    <row r="1" spans="1:20" x14ac:dyDescent="0.3">
      <c r="A1" s="1"/>
      <c r="B1" s="1" t="s">
        <v>45</v>
      </c>
      <c r="C1" s="1" t="s">
        <v>0</v>
      </c>
      <c r="D1" s="1" t="s">
        <v>46</v>
      </c>
      <c r="E1" s="1" t="s">
        <v>1</v>
      </c>
      <c r="F1" s="1" t="s">
        <v>47</v>
      </c>
      <c r="G1" s="1" t="s">
        <v>48</v>
      </c>
      <c r="H1" s="1" t="s">
        <v>2</v>
      </c>
      <c r="I1" s="1"/>
      <c r="J1" s="15">
        <v>12</v>
      </c>
    </row>
    <row r="2" spans="1:20" x14ac:dyDescent="0.3">
      <c r="A2" s="1" t="s">
        <v>45</v>
      </c>
      <c r="B2" s="1">
        <v>372</v>
      </c>
      <c r="C2" s="1">
        <v>1</v>
      </c>
      <c r="D2" s="1">
        <v>0</v>
      </c>
      <c r="E2" s="1">
        <v>0</v>
      </c>
      <c r="F2" s="1">
        <v>2</v>
      </c>
      <c r="G2" s="1">
        <v>1</v>
      </c>
      <c r="H2" s="1">
        <v>29</v>
      </c>
      <c r="I2" s="2">
        <f>SUM(B2:H2)</f>
        <v>405</v>
      </c>
      <c r="J2" s="16"/>
    </row>
    <row r="3" spans="1:20" x14ac:dyDescent="0.3">
      <c r="A3" s="1" t="s">
        <v>0</v>
      </c>
      <c r="B3" s="1">
        <v>2</v>
      </c>
      <c r="C3" s="1">
        <v>2869</v>
      </c>
      <c r="D3" s="1">
        <v>0</v>
      </c>
      <c r="E3" s="1">
        <v>0</v>
      </c>
      <c r="F3" s="1">
        <v>1</v>
      </c>
      <c r="G3" s="1">
        <v>1</v>
      </c>
      <c r="H3" s="1">
        <v>77</v>
      </c>
      <c r="I3" s="2">
        <f t="shared" ref="I3:I8" si="0">SUM(B3:H3)</f>
        <v>2950</v>
      </c>
      <c r="J3" s="16"/>
    </row>
    <row r="4" spans="1:20" x14ac:dyDescent="0.3">
      <c r="A4" s="1" t="s">
        <v>46</v>
      </c>
      <c r="B4" s="1">
        <v>0</v>
      </c>
      <c r="C4" s="1">
        <v>0</v>
      </c>
      <c r="D4" s="1">
        <v>1253</v>
      </c>
      <c r="E4" s="1">
        <v>0</v>
      </c>
      <c r="F4" s="1">
        <v>0</v>
      </c>
      <c r="G4" s="1">
        <v>0</v>
      </c>
      <c r="H4" s="1">
        <v>317</v>
      </c>
      <c r="I4" s="2">
        <f t="shared" si="0"/>
        <v>1570</v>
      </c>
      <c r="J4" s="16"/>
    </row>
    <row r="5" spans="1:20" x14ac:dyDescent="0.3">
      <c r="A5" s="1" t="s">
        <v>1</v>
      </c>
      <c r="B5" s="1">
        <v>0</v>
      </c>
      <c r="C5" s="1">
        <v>0</v>
      </c>
      <c r="D5" s="1">
        <v>0</v>
      </c>
      <c r="E5" s="1">
        <v>85</v>
      </c>
      <c r="F5" s="1">
        <v>0</v>
      </c>
      <c r="G5" s="1">
        <v>0</v>
      </c>
      <c r="H5" s="1">
        <v>8</v>
      </c>
      <c r="I5" s="2">
        <f t="shared" si="0"/>
        <v>93</v>
      </c>
      <c r="J5" s="16"/>
    </row>
    <row r="6" spans="1:20" x14ac:dyDescent="0.3">
      <c r="A6" t="s">
        <v>47</v>
      </c>
      <c r="B6" s="1">
        <v>13</v>
      </c>
      <c r="C6" s="1">
        <v>5</v>
      </c>
      <c r="D6" s="1">
        <v>0</v>
      </c>
      <c r="E6" s="1">
        <v>0</v>
      </c>
      <c r="F6" s="1">
        <v>1377</v>
      </c>
      <c r="G6" s="1">
        <v>0</v>
      </c>
      <c r="H6" s="1">
        <v>47</v>
      </c>
      <c r="I6" s="2">
        <f t="shared" si="0"/>
        <v>1442</v>
      </c>
      <c r="J6" s="16"/>
    </row>
    <row r="7" spans="1:20" x14ac:dyDescent="0.3">
      <c r="A7" t="s">
        <v>48</v>
      </c>
      <c r="B7" s="1">
        <v>5</v>
      </c>
      <c r="C7" s="1">
        <v>1</v>
      </c>
      <c r="D7" s="1">
        <v>0</v>
      </c>
      <c r="E7" s="1">
        <v>0</v>
      </c>
      <c r="F7" s="1">
        <v>0</v>
      </c>
      <c r="G7" s="1">
        <v>98</v>
      </c>
      <c r="H7" s="1">
        <v>9</v>
      </c>
      <c r="I7" s="2">
        <f t="shared" si="0"/>
        <v>113</v>
      </c>
      <c r="J7" s="16"/>
    </row>
    <row r="8" spans="1:20" x14ac:dyDescent="0.3">
      <c r="A8" s="1" t="s">
        <v>2</v>
      </c>
      <c r="B8" s="1">
        <v>40</v>
      </c>
      <c r="C8" s="1">
        <v>26</v>
      </c>
      <c r="D8" s="1">
        <v>66</v>
      </c>
      <c r="E8" s="1">
        <v>36</v>
      </c>
      <c r="F8" s="1">
        <v>36</v>
      </c>
      <c r="G8" s="1">
        <v>3</v>
      </c>
      <c r="H8" s="1">
        <v>0</v>
      </c>
      <c r="I8" s="2">
        <f t="shared" si="0"/>
        <v>207</v>
      </c>
      <c r="J8" s="16"/>
    </row>
    <row r="9" spans="1:20" x14ac:dyDescent="0.3">
      <c r="A9" s="1"/>
      <c r="B9" s="2">
        <f>SUM(B2:B8)</f>
        <v>432</v>
      </c>
      <c r="C9" s="2">
        <f t="shared" ref="C9:I9" si="1">SUM(C2:C8)</f>
        <v>2902</v>
      </c>
      <c r="D9" s="2">
        <f t="shared" si="1"/>
        <v>1319</v>
      </c>
      <c r="E9" s="2">
        <f t="shared" si="1"/>
        <v>121</v>
      </c>
      <c r="F9" s="2">
        <f t="shared" si="1"/>
        <v>1416</v>
      </c>
      <c r="G9" s="2">
        <f t="shared" si="1"/>
        <v>103</v>
      </c>
      <c r="H9" s="2">
        <f t="shared" si="1"/>
        <v>487</v>
      </c>
      <c r="I9" s="2">
        <f t="shared" si="1"/>
        <v>6780</v>
      </c>
      <c r="J9" s="16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6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6"/>
    </row>
    <row r="12" spans="1:20" x14ac:dyDescent="0.3">
      <c r="A12" s="1" t="s">
        <v>44</v>
      </c>
      <c r="B12" s="1" t="s">
        <v>45</v>
      </c>
      <c r="C12" s="1" t="s">
        <v>0</v>
      </c>
      <c r="D12" s="1" t="s">
        <v>46</v>
      </c>
      <c r="E12" s="1" t="s">
        <v>1</v>
      </c>
      <c r="F12" s="1" t="s">
        <v>47</v>
      </c>
      <c r="G12" s="1" t="s">
        <v>48</v>
      </c>
      <c r="H12" s="1" t="s">
        <v>8</v>
      </c>
      <c r="I12" s="1" t="s">
        <v>9</v>
      </c>
      <c r="J12" s="16"/>
      <c r="M12" s="10" t="s">
        <v>69</v>
      </c>
      <c r="N12" s="10" t="s">
        <v>45</v>
      </c>
      <c r="O12" s="10" t="s">
        <v>0</v>
      </c>
      <c r="P12" s="10" t="s">
        <v>46</v>
      </c>
      <c r="Q12" s="10" t="s">
        <v>1</v>
      </c>
      <c r="R12" s="10" t="s">
        <v>47</v>
      </c>
      <c r="S12" s="10" t="s">
        <v>48</v>
      </c>
      <c r="T12" s="10" t="s">
        <v>70</v>
      </c>
    </row>
    <row r="13" spans="1:20" x14ac:dyDescent="0.3">
      <c r="A13" s="1" t="s">
        <v>45</v>
      </c>
      <c r="B13" s="1">
        <v>372</v>
      </c>
      <c r="C13" s="1">
        <v>1</v>
      </c>
      <c r="D13" s="1">
        <v>0</v>
      </c>
      <c r="E13" s="1">
        <v>0</v>
      </c>
      <c r="F13" s="1">
        <v>2</v>
      </c>
      <c r="G13" s="1">
        <v>1</v>
      </c>
      <c r="H13" s="2">
        <f>SUM(B13:G13)</f>
        <v>376</v>
      </c>
      <c r="I13" s="1">
        <v>432</v>
      </c>
      <c r="J13" s="16"/>
      <c r="M13" s="12" t="s">
        <v>45</v>
      </c>
      <c r="N13" s="11">
        <v>372</v>
      </c>
      <c r="O13" s="11">
        <v>1</v>
      </c>
      <c r="P13" s="11">
        <v>0</v>
      </c>
      <c r="Q13" s="11">
        <v>0</v>
      </c>
      <c r="R13" s="11">
        <v>2</v>
      </c>
      <c r="S13" s="11">
        <v>1</v>
      </c>
      <c r="T13" s="11">
        <v>376</v>
      </c>
    </row>
    <row r="14" spans="1:20" x14ac:dyDescent="0.3">
      <c r="A14" s="1" t="s">
        <v>0</v>
      </c>
      <c r="B14" s="1">
        <v>2</v>
      </c>
      <c r="C14" s="1">
        <v>2869</v>
      </c>
      <c r="D14" s="1">
        <v>0</v>
      </c>
      <c r="E14" s="1">
        <v>0</v>
      </c>
      <c r="F14" s="1">
        <v>1</v>
      </c>
      <c r="G14" s="1">
        <v>1</v>
      </c>
      <c r="H14" s="2">
        <f t="shared" ref="H14:H18" si="2">SUM(B14:G14)</f>
        <v>2873</v>
      </c>
      <c r="I14" s="1">
        <v>2902</v>
      </c>
      <c r="J14" s="16"/>
      <c r="L14" t="s">
        <v>3</v>
      </c>
      <c r="M14" s="12" t="s">
        <v>0</v>
      </c>
      <c r="N14" s="11">
        <v>2</v>
      </c>
      <c r="O14" s="11">
        <v>2869</v>
      </c>
      <c r="P14" s="11">
        <v>0</v>
      </c>
      <c r="Q14" s="11">
        <v>0</v>
      </c>
      <c r="R14" s="11">
        <v>1</v>
      </c>
      <c r="S14" s="11">
        <v>1</v>
      </c>
      <c r="T14" s="11">
        <v>2873</v>
      </c>
    </row>
    <row r="15" spans="1:20" x14ac:dyDescent="0.3">
      <c r="A15" s="1" t="s">
        <v>46</v>
      </c>
      <c r="B15" s="1">
        <v>0</v>
      </c>
      <c r="C15" s="1">
        <v>0</v>
      </c>
      <c r="D15" s="1">
        <v>1253</v>
      </c>
      <c r="E15" s="1">
        <v>0</v>
      </c>
      <c r="F15" s="1">
        <v>0</v>
      </c>
      <c r="G15" s="1">
        <v>0</v>
      </c>
      <c r="H15" s="2">
        <f t="shared" si="2"/>
        <v>1253</v>
      </c>
      <c r="I15" s="1">
        <v>1319</v>
      </c>
      <c r="J15" s="16"/>
      <c r="L15" t="s">
        <v>4</v>
      </c>
      <c r="M15" s="12" t="s">
        <v>46</v>
      </c>
      <c r="N15" s="11">
        <v>0</v>
      </c>
      <c r="O15" s="11">
        <v>0</v>
      </c>
      <c r="P15" s="11">
        <v>1253</v>
      </c>
      <c r="Q15" s="11">
        <v>0</v>
      </c>
      <c r="R15" s="11">
        <v>0</v>
      </c>
      <c r="S15" s="11">
        <v>0</v>
      </c>
      <c r="T15" s="11">
        <v>1253</v>
      </c>
    </row>
    <row r="16" spans="1:20" x14ac:dyDescent="0.3">
      <c r="A16" s="1" t="s">
        <v>1</v>
      </c>
      <c r="B16" s="1">
        <v>0</v>
      </c>
      <c r="C16" s="1">
        <v>0</v>
      </c>
      <c r="D16" s="1">
        <v>0</v>
      </c>
      <c r="E16" s="1">
        <v>85</v>
      </c>
      <c r="F16" s="1">
        <v>0</v>
      </c>
      <c r="G16" s="1">
        <v>0</v>
      </c>
      <c r="H16" s="2">
        <f t="shared" si="2"/>
        <v>85</v>
      </c>
      <c r="I16" s="1">
        <v>85</v>
      </c>
      <c r="J16" s="16"/>
      <c r="L16" t="s">
        <v>5</v>
      </c>
      <c r="M16" s="12" t="s">
        <v>1</v>
      </c>
      <c r="N16" s="11">
        <v>0</v>
      </c>
      <c r="O16" s="11">
        <v>0</v>
      </c>
      <c r="P16" s="11">
        <v>0</v>
      </c>
      <c r="Q16" s="11">
        <v>85</v>
      </c>
      <c r="R16" s="11">
        <v>0</v>
      </c>
      <c r="S16" s="11">
        <v>0</v>
      </c>
      <c r="T16" s="11">
        <v>85</v>
      </c>
    </row>
    <row r="17" spans="1:22" x14ac:dyDescent="0.3">
      <c r="A17" t="s">
        <v>47</v>
      </c>
      <c r="B17" s="1">
        <v>13</v>
      </c>
      <c r="C17" s="1">
        <v>5</v>
      </c>
      <c r="D17" s="1">
        <v>0</v>
      </c>
      <c r="E17" s="1">
        <v>0</v>
      </c>
      <c r="F17" s="1">
        <v>1377</v>
      </c>
      <c r="G17" s="1">
        <v>0</v>
      </c>
      <c r="H17" s="2">
        <f t="shared" si="2"/>
        <v>1395</v>
      </c>
      <c r="I17" s="1">
        <v>1416</v>
      </c>
      <c r="J17" s="16"/>
      <c r="L17" t="s">
        <v>58</v>
      </c>
      <c r="M17" s="12" t="s">
        <v>47</v>
      </c>
      <c r="N17" s="11">
        <v>13</v>
      </c>
      <c r="O17" s="11">
        <v>5</v>
      </c>
      <c r="P17" s="11">
        <v>0</v>
      </c>
      <c r="Q17" s="11">
        <v>0</v>
      </c>
      <c r="R17" s="11">
        <v>1377</v>
      </c>
      <c r="S17" s="11">
        <v>0</v>
      </c>
      <c r="T17" s="11">
        <v>1395</v>
      </c>
    </row>
    <row r="18" spans="1:22" x14ac:dyDescent="0.3">
      <c r="A18" t="s">
        <v>48</v>
      </c>
      <c r="B18" s="1">
        <v>5</v>
      </c>
      <c r="C18" s="1">
        <v>1</v>
      </c>
      <c r="D18" s="1">
        <v>0</v>
      </c>
      <c r="E18" s="1">
        <v>0</v>
      </c>
      <c r="F18" s="1">
        <v>0</v>
      </c>
      <c r="G18" s="1">
        <v>97</v>
      </c>
      <c r="H18" s="2">
        <f t="shared" si="2"/>
        <v>103</v>
      </c>
      <c r="I18" s="1">
        <v>103</v>
      </c>
      <c r="J18" s="16"/>
      <c r="L18" t="s">
        <v>53</v>
      </c>
      <c r="M18" s="12" t="s">
        <v>48</v>
      </c>
      <c r="N18" s="11">
        <v>5</v>
      </c>
      <c r="O18" s="11">
        <v>1</v>
      </c>
      <c r="P18" s="11">
        <v>0</v>
      </c>
      <c r="Q18" s="11">
        <v>0</v>
      </c>
      <c r="R18" s="11">
        <v>0</v>
      </c>
      <c r="S18" s="11">
        <v>97</v>
      </c>
      <c r="T18" s="11">
        <v>103</v>
      </c>
    </row>
    <row r="19" spans="1:22" x14ac:dyDescent="0.3">
      <c r="A19" s="1"/>
      <c r="B19" s="2">
        <f>SUM(B13:B18)</f>
        <v>392</v>
      </c>
      <c r="C19" s="2">
        <f t="shared" ref="C19:G19" si="3">SUM(C13:C18)</f>
        <v>2876</v>
      </c>
      <c r="D19" s="2">
        <f t="shared" si="3"/>
        <v>1253</v>
      </c>
      <c r="E19" s="2">
        <f t="shared" si="3"/>
        <v>85</v>
      </c>
      <c r="F19" s="2">
        <f t="shared" si="3"/>
        <v>1380</v>
      </c>
      <c r="G19" s="2">
        <f t="shared" si="3"/>
        <v>99</v>
      </c>
      <c r="H19" s="2">
        <f>SUM(H13:H18)</f>
        <v>6085</v>
      </c>
      <c r="I19" s="2">
        <f>SUM(I13:I18)</f>
        <v>6257</v>
      </c>
      <c r="J19" s="17"/>
      <c r="L19" t="s">
        <v>49</v>
      </c>
      <c r="M19" s="12" t="s">
        <v>71</v>
      </c>
      <c r="N19" s="11">
        <v>432</v>
      </c>
      <c r="O19" s="11">
        <v>2902</v>
      </c>
      <c r="P19" s="11">
        <v>1319</v>
      </c>
      <c r="Q19" s="11">
        <v>85</v>
      </c>
      <c r="R19" s="11">
        <v>1416</v>
      </c>
      <c r="S19" s="11">
        <v>103</v>
      </c>
      <c r="T19" s="11">
        <v>6257</v>
      </c>
    </row>
    <row r="20" spans="1:22" x14ac:dyDescent="0.3">
      <c r="L20" t="s">
        <v>6</v>
      </c>
    </row>
    <row r="21" spans="1:22" x14ac:dyDescent="0.3">
      <c r="A21" s="1" t="s">
        <v>40</v>
      </c>
      <c r="B21" s="1" t="s">
        <v>45</v>
      </c>
      <c r="C21" t="s">
        <v>0</v>
      </c>
      <c r="D21" s="1" t="s">
        <v>46</v>
      </c>
      <c r="E21" t="s">
        <v>1</v>
      </c>
      <c r="F21" t="s">
        <v>47</v>
      </c>
      <c r="G21" t="s">
        <v>48</v>
      </c>
      <c r="L21" t="s">
        <v>50</v>
      </c>
      <c r="M21" s="10" t="s">
        <v>10</v>
      </c>
      <c r="N21" s="10" t="s">
        <v>72</v>
      </c>
      <c r="O21" s="10" t="s">
        <v>73</v>
      </c>
      <c r="P21" s="10" t="s">
        <v>74</v>
      </c>
      <c r="Q21" s="10" t="s">
        <v>75</v>
      </c>
      <c r="R21" s="10" t="s">
        <v>78</v>
      </c>
      <c r="S21" s="10" t="s">
        <v>76</v>
      </c>
      <c r="T21" s="10" t="s">
        <v>77</v>
      </c>
      <c r="U21" s="10" t="s">
        <v>11</v>
      </c>
      <c r="V21" s="10" t="s">
        <v>12</v>
      </c>
    </row>
    <row r="22" spans="1:22" x14ac:dyDescent="0.3">
      <c r="A22" s="1" t="s">
        <v>45</v>
      </c>
      <c r="B22">
        <v>391</v>
      </c>
      <c r="C22">
        <v>2</v>
      </c>
      <c r="D22">
        <v>0</v>
      </c>
      <c r="E22">
        <v>0</v>
      </c>
      <c r="F22">
        <v>4</v>
      </c>
      <c r="G22">
        <v>0</v>
      </c>
      <c r="H22">
        <f>SUM(B22:G22)</f>
        <v>397</v>
      </c>
      <c r="I22" s="1">
        <v>432</v>
      </c>
      <c r="J22" s="4"/>
      <c r="L22" t="s">
        <v>7</v>
      </c>
      <c r="M22" s="12" t="s">
        <v>45</v>
      </c>
      <c r="N22" s="11">
        <v>372</v>
      </c>
      <c r="O22" s="11">
        <v>4</v>
      </c>
      <c r="P22" s="11">
        <v>60</v>
      </c>
      <c r="Q22" s="11">
        <v>5821</v>
      </c>
      <c r="R22">
        <f>SUM(N22:Q22)</f>
        <v>6257</v>
      </c>
      <c r="S22">
        <f>N22+Q22</f>
        <v>6193</v>
      </c>
      <c r="T22">
        <f>S22/R22</f>
        <v>0.98977145596931437</v>
      </c>
      <c r="U22">
        <f>N22/(N22+O22)</f>
        <v>0.98936170212765961</v>
      </c>
      <c r="V22">
        <f>N22/432</f>
        <v>0.86111111111111116</v>
      </c>
    </row>
    <row r="23" spans="1:22" x14ac:dyDescent="0.3">
      <c r="A23" t="s">
        <v>0</v>
      </c>
      <c r="B23">
        <v>2</v>
      </c>
      <c r="C23">
        <v>2874</v>
      </c>
      <c r="D23">
        <v>0</v>
      </c>
      <c r="E23">
        <v>0</v>
      </c>
      <c r="F23">
        <v>2</v>
      </c>
      <c r="G23">
        <v>0</v>
      </c>
      <c r="H23">
        <f t="shared" ref="H23:H27" si="4">SUM(B23:G23)</f>
        <v>2878</v>
      </c>
      <c r="I23" s="1">
        <v>2902</v>
      </c>
      <c r="J23" s="4"/>
      <c r="L23" t="s">
        <v>4</v>
      </c>
      <c r="M23" s="12" t="s">
        <v>0</v>
      </c>
      <c r="N23" s="11">
        <v>2869</v>
      </c>
      <c r="O23" s="11">
        <v>4</v>
      </c>
      <c r="P23" s="11">
        <v>33</v>
      </c>
      <c r="Q23" s="11">
        <v>3351</v>
      </c>
      <c r="R23">
        <f t="shared" ref="R23:R27" si="5">SUM(N23:Q23)</f>
        <v>6257</v>
      </c>
      <c r="S23">
        <f t="shared" ref="S23:S27" si="6">N23+Q23</f>
        <v>6220</v>
      </c>
      <c r="T23">
        <f t="shared" ref="T23:T27" si="7">S23/R23</f>
        <v>0.99408662298225992</v>
      </c>
      <c r="U23">
        <f t="shared" ref="U23:U27" si="8">N23/(N23+O23)</f>
        <v>0.9986077271145144</v>
      </c>
      <c r="V23">
        <f>N23/2902</f>
        <v>0.98862853204686418</v>
      </c>
    </row>
    <row r="24" spans="1:22" x14ac:dyDescent="0.3">
      <c r="A24" s="1" t="s">
        <v>46</v>
      </c>
      <c r="B24">
        <v>0</v>
      </c>
      <c r="C24">
        <v>0</v>
      </c>
      <c r="D24">
        <v>1259</v>
      </c>
      <c r="E24">
        <v>0</v>
      </c>
      <c r="F24">
        <v>0</v>
      </c>
      <c r="G24">
        <v>0</v>
      </c>
      <c r="H24">
        <f t="shared" si="4"/>
        <v>1259</v>
      </c>
      <c r="I24" s="1">
        <v>1319</v>
      </c>
      <c r="J24" s="4"/>
      <c r="M24" s="12" t="s">
        <v>46</v>
      </c>
      <c r="N24" s="11">
        <v>1253</v>
      </c>
      <c r="O24" s="11">
        <v>0</v>
      </c>
      <c r="P24" s="11">
        <v>66</v>
      </c>
      <c r="Q24" s="11">
        <v>4938</v>
      </c>
      <c r="R24">
        <f t="shared" si="5"/>
        <v>6257</v>
      </c>
      <c r="S24">
        <f t="shared" si="6"/>
        <v>6191</v>
      </c>
      <c r="T24">
        <f t="shared" si="7"/>
        <v>0.98945181396835546</v>
      </c>
      <c r="U24">
        <f t="shared" si="8"/>
        <v>1</v>
      </c>
      <c r="V24">
        <f>N24/1319</f>
        <v>0.94996209249431385</v>
      </c>
    </row>
    <row r="25" spans="1:22" x14ac:dyDescent="0.3">
      <c r="A25" t="s">
        <v>1</v>
      </c>
      <c r="B25">
        <v>0</v>
      </c>
      <c r="C25">
        <v>0</v>
      </c>
      <c r="D25">
        <v>0</v>
      </c>
      <c r="E25">
        <v>83</v>
      </c>
      <c r="F25">
        <v>0</v>
      </c>
      <c r="G25">
        <v>0</v>
      </c>
      <c r="H25">
        <f t="shared" si="4"/>
        <v>83</v>
      </c>
      <c r="I25" s="1">
        <v>85</v>
      </c>
      <c r="J25" s="4"/>
      <c r="M25" s="12" t="s">
        <v>1</v>
      </c>
      <c r="N25" s="11">
        <v>85</v>
      </c>
      <c r="O25" s="11">
        <v>0</v>
      </c>
      <c r="P25" s="11">
        <v>0</v>
      </c>
      <c r="Q25" s="11">
        <v>6172</v>
      </c>
      <c r="R25">
        <f t="shared" si="5"/>
        <v>6257</v>
      </c>
      <c r="S25">
        <f t="shared" si="6"/>
        <v>6257</v>
      </c>
      <c r="T25">
        <f t="shared" si="7"/>
        <v>1</v>
      </c>
      <c r="U25">
        <f t="shared" si="8"/>
        <v>1</v>
      </c>
      <c r="V25">
        <f>N25/85</f>
        <v>1</v>
      </c>
    </row>
    <row r="26" spans="1:22" x14ac:dyDescent="0.3">
      <c r="A26" t="s">
        <v>47</v>
      </c>
      <c r="B26">
        <v>4</v>
      </c>
      <c r="C26">
        <v>6</v>
      </c>
      <c r="D26">
        <v>0</v>
      </c>
      <c r="E26">
        <v>1</v>
      </c>
      <c r="F26">
        <v>1379</v>
      </c>
      <c r="G26">
        <v>0</v>
      </c>
      <c r="H26">
        <f t="shared" si="4"/>
        <v>1390</v>
      </c>
      <c r="I26" s="1">
        <v>1416</v>
      </c>
      <c r="J26" s="4"/>
      <c r="M26" s="12" t="s">
        <v>47</v>
      </c>
      <c r="N26" s="11">
        <v>1377</v>
      </c>
      <c r="O26" s="11">
        <v>18</v>
      </c>
      <c r="P26" s="11">
        <v>39</v>
      </c>
      <c r="Q26" s="11">
        <v>4823</v>
      </c>
      <c r="R26">
        <f t="shared" si="5"/>
        <v>6257</v>
      </c>
      <c r="S26">
        <f t="shared" si="6"/>
        <v>6200</v>
      </c>
      <c r="T26">
        <f t="shared" si="7"/>
        <v>0.99089020297267061</v>
      </c>
      <c r="U26">
        <f t="shared" si="8"/>
        <v>0.98709677419354835</v>
      </c>
      <c r="V26">
        <f>N26/1416</f>
        <v>0.97245762711864403</v>
      </c>
    </row>
    <row r="27" spans="1:22" x14ac:dyDescent="0.3">
      <c r="A27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100</v>
      </c>
      <c r="H27">
        <f t="shared" si="4"/>
        <v>100</v>
      </c>
      <c r="I27" s="1">
        <v>103</v>
      </c>
      <c r="J27" s="4"/>
      <c r="M27" s="12" t="s">
        <v>48</v>
      </c>
      <c r="N27" s="11">
        <v>97</v>
      </c>
      <c r="O27" s="11">
        <v>6</v>
      </c>
      <c r="P27" s="11">
        <v>6</v>
      </c>
      <c r="Q27" s="11">
        <v>6148</v>
      </c>
      <c r="R27">
        <f t="shared" si="5"/>
        <v>6257</v>
      </c>
      <c r="S27">
        <f t="shared" si="6"/>
        <v>6245</v>
      </c>
      <c r="T27">
        <f t="shared" si="7"/>
        <v>0.99808214799424644</v>
      </c>
      <c r="U27">
        <f t="shared" si="8"/>
        <v>0.94174757281553401</v>
      </c>
      <c r="V27">
        <f>N27/103</f>
        <v>0.94174757281553401</v>
      </c>
    </row>
    <row r="28" spans="1:22" x14ac:dyDescent="0.3">
      <c r="H28">
        <f>SUM(H22:H27)</f>
        <v>6107</v>
      </c>
      <c r="I28" s="2">
        <f>SUM(I22:I27)</f>
        <v>6257</v>
      </c>
      <c r="N28">
        <f>SUM(N22:N27)</f>
        <v>6053</v>
      </c>
      <c r="O28">
        <f t="shared" ref="O28:P28" si="9">SUM(O22:O27)</f>
        <v>32</v>
      </c>
      <c r="P28">
        <f t="shared" si="9"/>
        <v>204</v>
      </c>
    </row>
    <row r="29" spans="1:22" x14ac:dyDescent="0.3">
      <c r="A29" s="8" t="s">
        <v>41</v>
      </c>
      <c r="B29" s="1" t="s">
        <v>45</v>
      </c>
      <c r="C29" t="s">
        <v>0</v>
      </c>
      <c r="D29" s="1" t="s">
        <v>46</v>
      </c>
      <c r="E29" t="s">
        <v>1</v>
      </c>
      <c r="F29" t="s">
        <v>47</v>
      </c>
      <c r="G29" t="s">
        <v>48</v>
      </c>
      <c r="J29" s="8"/>
      <c r="M29" s="12" t="s">
        <v>79</v>
      </c>
      <c r="N29" s="18">
        <f>N28+O28+P28</f>
        <v>6289</v>
      </c>
      <c r="O29" s="18"/>
      <c r="P29" s="18"/>
    </row>
    <row r="30" spans="1:22" x14ac:dyDescent="0.3">
      <c r="A30" s="1" t="s">
        <v>45</v>
      </c>
      <c r="B30">
        <v>372</v>
      </c>
      <c r="C30">
        <v>0</v>
      </c>
      <c r="D30">
        <v>0</v>
      </c>
      <c r="E30">
        <v>0</v>
      </c>
      <c r="F30">
        <v>2</v>
      </c>
      <c r="G30">
        <v>2</v>
      </c>
      <c r="H30">
        <f>SUM(B30:G30)</f>
        <v>376</v>
      </c>
      <c r="I30" s="1">
        <v>432</v>
      </c>
      <c r="J30" s="8"/>
    </row>
    <row r="31" spans="1:22" ht="28.8" x14ac:dyDescent="0.3">
      <c r="A31" t="s">
        <v>0</v>
      </c>
      <c r="B31">
        <v>3</v>
      </c>
      <c r="C31">
        <v>2857</v>
      </c>
      <c r="D31">
        <v>0</v>
      </c>
      <c r="E31">
        <v>0</v>
      </c>
      <c r="F31">
        <v>2</v>
      </c>
      <c r="G31">
        <v>0</v>
      </c>
      <c r="H31">
        <f t="shared" ref="H31:H51" si="10">SUM(B31:G31)</f>
        <v>2862</v>
      </c>
      <c r="I31" s="1">
        <v>2902</v>
      </c>
      <c r="J31" s="8"/>
      <c r="M31" s="10" t="s">
        <v>10</v>
      </c>
      <c r="N31" s="10" t="s">
        <v>72</v>
      </c>
      <c r="O31" s="10" t="s">
        <v>73</v>
      </c>
      <c r="P31" s="10" t="s">
        <v>74</v>
      </c>
      <c r="Q31" s="10" t="s">
        <v>75</v>
      </c>
      <c r="R31" s="10" t="s">
        <v>77</v>
      </c>
      <c r="S31" s="10" t="s">
        <v>11</v>
      </c>
      <c r="T31" s="10" t="s">
        <v>12</v>
      </c>
    </row>
    <row r="32" spans="1:22" x14ac:dyDescent="0.3">
      <c r="A32" s="1" t="s">
        <v>46</v>
      </c>
      <c r="B32">
        <v>0</v>
      </c>
      <c r="C32">
        <v>0</v>
      </c>
      <c r="D32">
        <v>1217</v>
      </c>
      <c r="E32">
        <v>0</v>
      </c>
      <c r="F32">
        <v>0</v>
      </c>
      <c r="G32">
        <v>0</v>
      </c>
      <c r="H32">
        <f t="shared" si="10"/>
        <v>1217</v>
      </c>
      <c r="I32" s="1">
        <v>1319</v>
      </c>
      <c r="J32" s="8"/>
      <c r="M32" s="11" t="s">
        <v>45</v>
      </c>
      <c r="N32" s="11">
        <v>372</v>
      </c>
      <c r="O32" s="11">
        <v>4</v>
      </c>
      <c r="P32" s="11">
        <v>60</v>
      </c>
      <c r="Q32" s="11">
        <v>5821</v>
      </c>
      <c r="R32" s="12">
        <v>0.98980000000000001</v>
      </c>
      <c r="S32" s="11">
        <v>0.98939999999999995</v>
      </c>
      <c r="T32" s="11">
        <v>0.86109999999999998</v>
      </c>
    </row>
    <row r="33" spans="1:20" x14ac:dyDescent="0.3">
      <c r="A33" t="s">
        <v>1</v>
      </c>
      <c r="B33">
        <v>0</v>
      </c>
      <c r="C33">
        <v>0</v>
      </c>
      <c r="D33">
        <v>0</v>
      </c>
      <c r="E33">
        <v>83</v>
      </c>
      <c r="F33">
        <v>0</v>
      </c>
      <c r="G33">
        <v>0</v>
      </c>
      <c r="H33">
        <f t="shared" si="10"/>
        <v>83</v>
      </c>
      <c r="I33" s="1">
        <v>85</v>
      </c>
      <c r="J33" s="8"/>
      <c r="M33" s="11" t="s">
        <v>0</v>
      </c>
      <c r="N33" s="11">
        <v>2869</v>
      </c>
      <c r="O33" s="11">
        <v>4</v>
      </c>
      <c r="P33" s="11">
        <v>33</v>
      </c>
      <c r="Q33" s="11">
        <v>3351</v>
      </c>
      <c r="R33" s="12">
        <v>0.99409999999999998</v>
      </c>
      <c r="S33" s="11">
        <v>0.99860000000000004</v>
      </c>
      <c r="T33" s="11">
        <v>0.98860000000000003</v>
      </c>
    </row>
    <row r="34" spans="1:20" x14ac:dyDescent="0.3">
      <c r="A34" t="s">
        <v>47</v>
      </c>
      <c r="B34">
        <v>7</v>
      </c>
      <c r="C34">
        <v>4</v>
      </c>
      <c r="D34">
        <v>0</v>
      </c>
      <c r="E34">
        <v>1</v>
      </c>
      <c r="F34">
        <v>1379</v>
      </c>
      <c r="G34">
        <v>0</v>
      </c>
      <c r="H34">
        <f t="shared" si="10"/>
        <v>1391</v>
      </c>
      <c r="I34" s="1">
        <v>1416</v>
      </c>
      <c r="J34" s="8"/>
      <c r="M34" s="11" t="s">
        <v>46</v>
      </c>
      <c r="N34" s="11">
        <v>1253</v>
      </c>
      <c r="O34" s="11">
        <v>0</v>
      </c>
      <c r="P34" s="11">
        <v>66</v>
      </c>
      <c r="Q34" s="11">
        <v>4938</v>
      </c>
      <c r="R34" s="12">
        <v>0.98950000000000005</v>
      </c>
      <c r="S34" s="11">
        <v>1</v>
      </c>
      <c r="T34" s="11">
        <v>0.95</v>
      </c>
    </row>
    <row r="35" spans="1:20" x14ac:dyDescent="0.3">
      <c r="A35" t="s">
        <v>48</v>
      </c>
      <c r="B35">
        <v>3</v>
      </c>
      <c r="C35">
        <v>2</v>
      </c>
      <c r="D35">
        <v>0</v>
      </c>
      <c r="E35">
        <v>0</v>
      </c>
      <c r="F35">
        <v>0</v>
      </c>
      <c r="G35">
        <v>97</v>
      </c>
      <c r="H35">
        <f t="shared" si="10"/>
        <v>102</v>
      </c>
      <c r="I35" s="1">
        <v>103</v>
      </c>
      <c r="J35" s="8"/>
      <c r="M35" s="11" t="s">
        <v>1</v>
      </c>
      <c r="N35" s="11">
        <v>85</v>
      </c>
      <c r="O35" s="11">
        <v>0</v>
      </c>
      <c r="P35" s="11">
        <v>0</v>
      </c>
      <c r="Q35" s="11">
        <v>6172</v>
      </c>
      <c r="R35" s="12">
        <v>1</v>
      </c>
      <c r="S35" s="11">
        <v>1</v>
      </c>
      <c r="T35" s="11">
        <v>1</v>
      </c>
    </row>
    <row r="36" spans="1:20" x14ac:dyDescent="0.3">
      <c r="H36">
        <f>SUM(H30:H35)</f>
        <v>6031</v>
      </c>
      <c r="I36" s="2">
        <f>SUM(I30:I35)</f>
        <v>6257</v>
      </c>
      <c r="M36" s="11" t="s">
        <v>47</v>
      </c>
      <c r="N36" s="11">
        <v>1377</v>
      </c>
      <c r="O36" s="11">
        <v>18</v>
      </c>
      <c r="P36" s="11">
        <v>39</v>
      </c>
      <c r="Q36" s="11">
        <v>4823</v>
      </c>
      <c r="R36" s="12">
        <v>0.9909</v>
      </c>
      <c r="S36" s="11">
        <v>0.98709999999999998</v>
      </c>
      <c r="T36" s="11">
        <v>0.97250000000000003</v>
      </c>
    </row>
    <row r="37" spans="1:20" x14ac:dyDescent="0.3">
      <c r="A37" s="3" t="s">
        <v>42</v>
      </c>
      <c r="B37" s="1" t="s">
        <v>45</v>
      </c>
      <c r="C37" t="s">
        <v>0</v>
      </c>
      <c r="D37" s="1" t="s">
        <v>46</v>
      </c>
      <c r="E37" t="s">
        <v>1</v>
      </c>
      <c r="F37" t="s">
        <v>47</v>
      </c>
      <c r="G37" t="s">
        <v>48</v>
      </c>
      <c r="J37" s="3"/>
      <c r="M37" s="11" t="s">
        <v>48</v>
      </c>
      <c r="N37" s="11">
        <v>97</v>
      </c>
      <c r="O37" s="11">
        <v>6</v>
      </c>
      <c r="P37" s="11">
        <v>6</v>
      </c>
      <c r="Q37" s="11">
        <v>6148</v>
      </c>
      <c r="R37" s="12">
        <v>0.99809999999999999</v>
      </c>
      <c r="S37" s="11">
        <v>0.94169999999999998</v>
      </c>
      <c r="T37" s="11">
        <v>0.94169999999999998</v>
      </c>
    </row>
    <row r="38" spans="1:20" x14ac:dyDescent="0.3">
      <c r="A38" s="1" t="s">
        <v>45</v>
      </c>
      <c r="B38">
        <v>389</v>
      </c>
      <c r="C38">
        <v>0</v>
      </c>
      <c r="D38">
        <v>0</v>
      </c>
      <c r="E38">
        <v>0</v>
      </c>
      <c r="F38">
        <v>2</v>
      </c>
      <c r="G38">
        <v>0</v>
      </c>
      <c r="H38">
        <f t="shared" si="10"/>
        <v>391</v>
      </c>
      <c r="I38" s="1">
        <v>432</v>
      </c>
      <c r="J38" s="3"/>
      <c r="N38">
        <f>SUM(N32:N37)</f>
        <v>6053</v>
      </c>
      <c r="O38">
        <f>SUM(O32:O37)</f>
        <v>32</v>
      </c>
      <c r="P38">
        <f>SUM(P32:P37)</f>
        <v>204</v>
      </c>
    </row>
    <row r="39" spans="1:20" x14ac:dyDescent="0.3">
      <c r="A39" t="s">
        <v>0</v>
      </c>
      <c r="B39">
        <v>1</v>
      </c>
      <c r="C39">
        <v>2893</v>
      </c>
      <c r="D39">
        <v>0</v>
      </c>
      <c r="E39">
        <v>0</v>
      </c>
      <c r="F39">
        <v>1</v>
      </c>
      <c r="G39">
        <v>0</v>
      </c>
      <c r="H39">
        <f t="shared" si="10"/>
        <v>2895</v>
      </c>
      <c r="I39" s="1">
        <v>2902</v>
      </c>
      <c r="J39" s="3"/>
    </row>
    <row r="40" spans="1:20" x14ac:dyDescent="0.3">
      <c r="A40" s="1" t="s">
        <v>46</v>
      </c>
      <c r="B40">
        <v>0</v>
      </c>
      <c r="C40">
        <v>0</v>
      </c>
      <c r="D40">
        <v>1286</v>
      </c>
      <c r="E40">
        <v>0</v>
      </c>
      <c r="F40">
        <v>0</v>
      </c>
      <c r="G40">
        <v>0</v>
      </c>
      <c r="H40">
        <f t="shared" si="10"/>
        <v>1286</v>
      </c>
      <c r="I40" s="1">
        <v>1319</v>
      </c>
      <c r="J40" s="3"/>
    </row>
    <row r="41" spans="1:20" x14ac:dyDescent="0.3">
      <c r="A41" t="s">
        <v>1</v>
      </c>
      <c r="B41">
        <v>0</v>
      </c>
      <c r="C41">
        <v>0</v>
      </c>
      <c r="D41">
        <v>0</v>
      </c>
      <c r="E41">
        <v>85</v>
      </c>
      <c r="F41">
        <v>0</v>
      </c>
      <c r="G41">
        <v>0</v>
      </c>
      <c r="H41">
        <f t="shared" si="10"/>
        <v>85</v>
      </c>
      <c r="I41" s="1">
        <v>85</v>
      </c>
      <c r="J41" s="3"/>
    </row>
    <row r="42" spans="1:20" x14ac:dyDescent="0.3">
      <c r="A42" t="s">
        <v>47</v>
      </c>
      <c r="B42">
        <v>6</v>
      </c>
      <c r="C42">
        <v>0</v>
      </c>
      <c r="D42">
        <v>0</v>
      </c>
      <c r="E42">
        <v>0</v>
      </c>
      <c r="F42">
        <v>1390</v>
      </c>
      <c r="G42">
        <v>0</v>
      </c>
      <c r="H42">
        <f t="shared" si="10"/>
        <v>1396</v>
      </c>
      <c r="I42" s="1">
        <v>1416</v>
      </c>
      <c r="J42" s="3"/>
    </row>
    <row r="43" spans="1:20" x14ac:dyDescent="0.3">
      <c r="A43" t="s">
        <v>48</v>
      </c>
      <c r="B43">
        <v>1</v>
      </c>
      <c r="C43">
        <v>0</v>
      </c>
      <c r="D43">
        <v>0</v>
      </c>
      <c r="E43">
        <v>0</v>
      </c>
      <c r="F43">
        <v>0</v>
      </c>
      <c r="G43">
        <v>101</v>
      </c>
      <c r="H43">
        <f t="shared" si="10"/>
        <v>102</v>
      </c>
      <c r="I43" s="1">
        <v>103</v>
      </c>
      <c r="J43" s="3"/>
    </row>
    <row r="44" spans="1:20" x14ac:dyDescent="0.3">
      <c r="H44">
        <f>SUM(H38:H43)</f>
        <v>6155</v>
      </c>
      <c r="I44" s="2">
        <f>SUM(I38:I43)</f>
        <v>6257</v>
      </c>
    </row>
    <row r="45" spans="1:20" x14ac:dyDescent="0.3">
      <c r="A45" s="9" t="s">
        <v>43</v>
      </c>
      <c r="B45" s="1" t="s">
        <v>45</v>
      </c>
      <c r="C45" t="s">
        <v>0</v>
      </c>
      <c r="D45" s="1" t="s">
        <v>46</v>
      </c>
      <c r="E45" t="s">
        <v>1</v>
      </c>
      <c r="F45" t="s">
        <v>47</v>
      </c>
      <c r="G45" t="s">
        <v>48</v>
      </c>
    </row>
    <row r="46" spans="1:20" x14ac:dyDescent="0.3">
      <c r="A46" s="1" t="s">
        <v>45</v>
      </c>
      <c r="B46">
        <v>394</v>
      </c>
      <c r="C46">
        <v>0</v>
      </c>
      <c r="D46">
        <v>0</v>
      </c>
      <c r="E46">
        <v>0</v>
      </c>
      <c r="F46">
        <v>0</v>
      </c>
      <c r="G46">
        <v>1</v>
      </c>
      <c r="H46">
        <f t="shared" si="10"/>
        <v>395</v>
      </c>
      <c r="I46" s="1">
        <v>432</v>
      </c>
    </row>
    <row r="47" spans="1:20" x14ac:dyDescent="0.3">
      <c r="A47" t="s">
        <v>0</v>
      </c>
      <c r="B47">
        <v>0</v>
      </c>
      <c r="C47">
        <v>2891</v>
      </c>
      <c r="D47">
        <v>0</v>
      </c>
      <c r="E47">
        <v>0</v>
      </c>
      <c r="F47">
        <v>0</v>
      </c>
      <c r="G47">
        <v>0</v>
      </c>
      <c r="H47">
        <f t="shared" si="10"/>
        <v>2891</v>
      </c>
      <c r="I47" s="1">
        <v>2902</v>
      </c>
    </row>
    <row r="48" spans="1:20" x14ac:dyDescent="0.3">
      <c r="A48" s="1" t="s">
        <v>46</v>
      </c>
      <c r="B48">
        <v>0</v>
      </c>
      <c r="C48">
        <v>0</v>
      </c>
      <c r="D48">
        <v>1287</v>
      </c>
      <c r="E48">
        <v>0</v>
      </c>
      <c r="F48">
        <v>0</v>
      </c>
      <c r="G48">
        <v>0</v>
      </c>
      <c r="H48">
        <f t="shared" si="10"/>
        <v>1287</v>
      </c>
      <c r="I48" s="1">
        <v>1319</v>
      </c>
    </row>
    <row r="49" spans="1:9" x14ac:dyDescent="0.3">
      <c r="A49" t="s">
        <v>1</v>
      </c>
      <c r="B49">
        <v>0</v>
      </c>
      <c r="C49">
        <v>0</v>
      </c>
      <c r="D49">
        <v>0</v>
      </c>
      <c r="E49">
        <v>85</v>
      </c>
      <c r="F49">
        <v>0</v>
      </c>
      <c r="G49">
        <v>0</v>
      </c>
      <c r="H49">
        <f t="shared" si="10"/>
        <v>85</v>
      </c>
      <c r="I49" s="1">
        <v>85</v>
      </c>
    </row>
    <row r="50" spans="1:9" x14ac:dyDescent="0.3">
      <c r="A50" t="s">
        <v>47</v>
      </c>
      <c r="B50">
        <v>6</v>
      </c>
      <c r="C50">
        <v>0</v>
      </c>
      <c r="D50">
        <v>0</v>
      </c>
      <c r="E50">
        <v>0</v>
      </c>
      <c r="F50">
        <v>1384</v>
      </c>
      <c r="G50">
        <v>0</v>
      </c>
      <c r="H50">
        <f t="shared" si="10"/>
        <v>1390</v>
      </c>
      <c r="I50" s="1">
        <v>1416</v>
      </c>
    </row>
    <row r="51" spans="1:9" x14ac:dyDescent="0.3">
      <c r="A51" t="s">
        <v>48</v>
      </c>
      <c r="B51">
        <v>2</v>
      </c>
      <c r="C51">
        <v>0</v>
      </c>
      <c r="D51">
        <v>0</v>
      </c>
      <c r="E51">
        <v>0</v>
      </c>
      <c r="F51">
        <v>0</v>
      </c>
      <c r="G51">
        <v>98</v>
      </c>
      <c r="H51">
        <f t="shared" si="10"/>
        <v>100</v>
      </c>
      <c r="I51" s="1">
        <v>103</v>
      </c>
    </row>
    <row r="52" spans="1:9" x14ac:dyDescent="0.3">
      <c r="H52">
        <f>SUM(H46:H51)</f>
        <v>6148</v>
      </c>
      <c r="I52" s="2">
        <f>SUM(I46:I51)</f>
        <v>6257</v>
      </c>
    </row>
  </sheetData>
  <mergeCells count="2">
    <mergeCell ref="J1:J19"/>
    <mergeCell ref="N29:P29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835D-5D43-4AD0-9990-A3E94DD5B863}">
  <dimension ref="A1:J80"/>
  <sheetViews>
    <sheetView workbookViewId="0">
      <selection activeCell="K6" sqref="K6"/>
    </sheetView>
  </sheetViews>
  <sheetFormatPr defaultColWidth="16.77734375" defaultRowHeight="14.4" x14ac:dyDescent="0.3"/>
  <cols>
    <col min="3" max="3" width="15.88671875" bestFit="1" customWidth="1"/>
    <col min="4" max="4" width="4.6640625" bestFit="1" customWidth="1"/>
    <col min="5" max="5" width="10.44140625" bestFit="1" customWidth="1"/>
    <col min="6" max="6" width="5" bestFit="1" customWidth="1"/>
    <col min="7" max="7" width="15.88671875" bestFit="1" customWidth="1"/>
    <col min="8" max="8" width="5" bestFit="1" customWidth="1"/>
    <col min="9" max="9" width="4.21875" bestFit="1" customWidth="1"/>
    <col min="10" max="10" width="15.109375" bestFit="1" customWidth="1"/>
  </cols>
  <sheetData>
    <row r="1" spans="1:10" x14ac:dyDescent="0.3">
      <c r="A1" s="21" t="s">
        <v>87</v>
      </c>
      <c r="B1" s="19" t="s">
        <v>44</v>
      </c>
      <c r="C1" s="10" t="s">
        <v>69</v>
      </c>
      <c r="D1" s="10" t="s">
        <v>45</v>
      </c>
      <c r="E1" s="10" t="s">
        <v>0</v>
      </c>
      <c r="F1" s="10" t="s">
        <v>46</v>
      </c>
      <c r="G1" s="10" t="s">
        <v>1</v>
      </c>
      <c r="H1" s="10" t="s">
        <v>47</v>
      </c>
      <c r="I1" s="10" t="s">
        <v>48</v>
      </c>
      <c r="J1" s="10" t="s">
        <v>70</v>
      </c>
    </row>
    <row r="2" spans="1:10" x14ac:dyDescent="0.3">
      <c r="A2" s="21"/>
      <c r="B2" s="19"/>
      <c r="C2" s="12" t="s">
        <v>45</v>
      </c>
      <c r="D2" s="11">
        <v>357</v>
      </c>
      <c r="E2" s="13">
        <v>4</v>
      </c>
      <c r="F2" s="11">
        <v>3</v>
      </c>
      <c r="G2" s="11">
        <v>3</v>
      </c>
      <c r="H2" s="11">
        <v>5</v>
      </c>
      <c r="I2" s="11">
        <v>4</v>
      </c>
      <c r="J2" s="11">
        <f>SUM(D2:I2)</f>
        <v>376</v>
      </c>
    </row>
    <row r="3" spans="1:10" x14ac:dyDescent="0.3">
      <c r="A3" s="21"/>
      <c r="B3" s="19"/>
      <c r="C3" s="12" t="s">
        <v>0</v>
      </c>
      <c r="D3" s="11">
        <v>25</v>
      </c>
      <c r="E3" s="13">
        <v>2757</v>
      </c>
      <c r="F3" s="11">
        <v>23</v>
      </c>
      <c r="G3" s="11">
        <v>22</v>
      </c>
      <c r="H3" s="11">
        <v>23</v>
      </c>
      <c r="I3" s="11">
        <v>23</v>
      </c>
      <c r="J3" s="11">
        <f>SUM(D3:I3)</f>
        <v>2873</v>
      </c>
    </row>
    <row r="4" spans="1:10" x14ac:dyDescent="0.3">
      <c r="A4" s="21"/>
      <c r="B4" s="19"/>
      <c r="C4" s="12" t="s">
        <v>46</v>
      </c>
      <c r="D4" s="11">
        <v>10</v>
      </c>
      <c r="E4" s="13">
        <v>10</v>
      </c>
      <c r="F4" s="11">
        <v>1204</v>
      </c>
      <c r="G4" s="11">
        <v>10</v>
      </c>
      <c r="H4" s="11">
        <v>10</v>
      </c>
      <c r="I4" s="11">
        <v>9</v>
      </c>
      <c r="J4" s="11">
        <f>SUM(D4:I4)</f>
        <v>1253</v>
      </c>
    </row>
    <row r="5" spans="1:10" x14ac:dyDescent="0.3">
      <c r="A5" s="21"/>
      <c r="B5" s="19"/>
      <c r="C5" s="12" t="s">
        <v>1</v>
      </c>
      <c r="D5" s="11">
        <v>1</v>
      </c>
      <c r="E5" s="13">
        <v>1</v>
      </c>
      <c r="F5" s="11">
        <v>1</v>
      </c>
      <c r="G5" s="11">
        <v>82</v>
      </c>
      <c r="H5" s="11">
        <v>0</v>
      </c>
      <c r="I5" s="11">
        <v>0</v>
      </c>
      <c r="J5" s="11">
        <f t="shared" ref="J5:J7" si="0">SUM(D5:I5)</f>
        <v>85</v>
      </c>
    </row>
    <row r="6" spans="1:10" x14ac:dyDescent="0.3">
      <c r="A6" s="21"/>
      <c r="B6" s="19"/>
      <c r="C6" s="12" t="s">
        <v>47</v>
      </c>
      <c r="D6" s="11">
        <v>24</v>
      </c>
      <c r="E6" s="13">
        <v>16</v>
      </c>
      <c r="F6" s="11">
        <v>11</v>
      </c>
      <c r="G6" s="11">
        <v>11</v>
      </c>
      <c r="H6" s="11">
        <v>1323</v>
      </c>
      <c r="I6" s="11">
        <v>10</v>
      </c>
      <c r="J6" s="11">
        <f t="shared" si="0"/>
        <v>1395</v>
      </c>
    </row>
    <row r="7" spans="1:10" x14ac:dyDescent="0.3">
      <c r="A7" s="21"/>
      <c r="B7" s="19"/>
      <c r="C7" s="12" t="s">
        <v>48</v>
      </c>
      <c r="D7" s="11">
        <v>6</v>
      </c>
      <c r="E7" s="13">
        <v>2</v>
      </c>
      <c r="F7" s="11">
        <v>1</v>
      </c>
      <c r="G7" s="11">
        <v>1</v>
      </c>
      <c r="H7" s="11">
        <v>0</v>
      </c>
      <c r="I7" s="11">
        <v>93</v>
      </c>
      <c r="J7" s="11">
        <f t="shared" si="0"/>
        <v>103</v>
      </c>
    </row>
    <row r="8" spans="1:10" x14ac:dyDescent="0.3">
      <c r="A8" s="21"/>
      <c r="B8" s="19"/>
      <c r="C8" s="12" t="s">
        <v>71</v>
      </c>
      <c r="D8" s="11">
        <v>432</v>
      </c>
      <c r="E8" s="11">
        <v>2902</v>
      </c>
      <c r="F8" s="11">
        <v>1319</v>
      </c>
      <c r="G8" s="11">
        <v>85</v>
      </c>
      <c r="H8" s="11">
        <v>1416</v>
      </c>
      <c r="I8" s="11">
        <v>103</v>
      </c>
      <c r="J8" s="11"/>
    </row>
    <row r="9" spans="1:10" x14ac:dyDescent="0.3">
      <c r="A9" s="21"/>
      <c r="B9" s="19" t="s">
        <v>40</v>
      </c>
      <c r="C9" s="10"/>
      <c r="D9" s="10"/>
      <c r="E9" s="10"/>
      <c r="F9" s="10"/>
      <c r="G9" s="10"/>
      <c r="H9" s="10"/>
      <c r="I9" s="10"/>
      <c r="J9" s="10"/>
    </row>
    <row r="10" spans="1:10" x14ac:dyDescent="0.3">
      <c r="A10" s="21"/>
      <c r="B10" s="19"/>
      <c r="C10" s="12" t="s">
        <v>45</v>
      </c>
      <c r="D10" s="11">
        <v>368</v>
      </c>
      <c r="E10" s="11">
        <v>1</v>
      </c>
      <c r="F10" s="11">
        <v>0</v>
      </c>
      <c r="G10" s="11">
        <v>0</v>
      </c>
      <c r="H10" s="11">
        <v>5</v>
      </c>
      <c r="I10" s="11">
        <v>0</v>
      </c>
      <c r="J10" s="11">
        <v>374</v>
      </c>
    </row>
    <row r="11" spans="1:10" x14ac:dyDescent="0.3">
      <c r="A11" s="21"/>
      <c r="B11" s="19"/>
      <c r="C11" s="12" t="s">
        <v>0</v>
      </c>
      <c r="D11" s="11">
        <v>3</v>
      </c>
      <c r="E11" s="11">
        <v>2868</v>
      </c>
      <c r="F11" s="11">
        <v>0</v>
      </c>
      <c r="G11" s="11">
        <v>0</v>
      </c>
      <c r="H11" s="11">
        <v>4</v>
      </c>
      <c r="I11" s="11">
        <v>1</v>
      </c>
      <c r="J11" s="11">
        <v>2876</v>
      </c>
    </row>
    <row r="12" spans="1:10" x14ac:dyDescent="0.3">
      <c r="A12" s="21"/>
      <c r="B12" s="19"/>
      <c r="C12" s="12" t="s">
        <v>46</v>
      </c>
      <c r="D12" s="11">
        <v>0</v>
      </c>
      <c r="E12" s="11">
        <v>0</v>
      </c>
      <c r="F12" s="11">
        <v>1254</v>
      </c>
      <c r="G12" s="11">
        <v>0</v>
      </c>
      <c r="H12" s="11">
        <v>0</v>
      </c>
      <c r="I12" s="11">
        <v>0</v>
      </c>
      <c r="J12" s="11">
        <v>1254</v>
      </c>
    </row>
    <row r="13" spans="1:10" x14ac:dyDescent="0.3">
      <c r="A13" s="21"/>
      <c r="B13" s="19"/>
      <c r="C13" s="12" t="s">
        <v>1</v>
      </c>
      <c r="D13" s="11">
        <v>0</v>
      </c>
      <c r="E13" s="11">
        <v>0</v>
      </c>
      <c r="F13" s="11">
        <v>0</v>
      </c>
      <c r="G13" s="11">
        <v>83</v>
      </c>
      <c r="H13" s="11">
        <v>0</v>
      </c>
      <c r="I13" s="11">
        <v>0</v>
      </c>
      <c r="J13" s="11">
        <v>83</v>
      </c>
    </row>
    <row r="14" spans="1:10" x14ac:dyDescent="0.3">
      <c r="A14" s="21"/>
      <c r="B14" s="19"/>
      <c r="C14" s="12" t="s">
        <v>47</v>
      </c>
      <c r="D14" s="11">
        <v>18</v>
      </c>
      <c r="E14" s="11">
        <v>7</v>
      </c>
      <c r="F14" s="11">
        <v>0</v>
      </c>
      <c r="G14" s="11">
        <v>2</v>
      </c>
      <c r="H14" s="11">
        <v>1353</v>
      </c>
      <c r="I14" s="11">
        <v>0</v>
      </c>
      <c r="J14" s="11">
        <v>1380</v>
      </c>
    </row>
    <row r="15" spans="1:10" x14ac:dyDescent="0.3">
      <c r="A15" s="21"/>
      <c r="B15" s="19"/>
      <c r="C15" s="12" t="s">
        <v>48</v>
      </c>
      <c r="D15" s="11">
        <v>4</v>
      </c>
      <c r="E15" s="11">
        <v>1</v>
      </c>
      <c r="F15" s="11">
        <v>0</v>
      </c>
      <c r="G15" s="11">
        <v>0</v>
      </c>
      <c r="H15" s="11">
        <v>0</v>
      </c>
      <c r="I15" s="11">
        <v>98</v>
      </c>
      <c r="J15" s="11">
        <v>103</v>
      </c>
    </row>
    <row r="16" spans="1:10" x14ac:dyDescent="0.3">
      <c r="A16" s="21"/>
      <c r="B16" s="19"/>
      <c r="C16" s="12" t="s">
        <v>71</v>
      </c>
      <c r="D16" s="11">
        <v>432</v>
      </c>
      <c r="E16" s="11">
        <v>2902</v>
      </c>
      <c r="F16" s="11">
        <v>1319</v>
      </c>
      <c r="G16" s="11">
        <v>85</v>
      </c>
      <c r="H16" s="11">
        <v>1416</v>
      </c>
      <c r="I16" s="11">
        <v>103</v>
      </c>
      <c r="J16" s="11"/>
    </row>
    <row r="17" spans="1:10" x14ac:dyDescent="0.3">
      <c r="A17" s="21"/>
      <c r="B17" s="19" t="s">
        <v>41</v>
      </c>
      <c r="C17" s="10"/>
      <c r="D17" s="10"/>
      <c r="E17" s="10"/>
      <c r="F17" s="10"/>
      <c r="G17" s="10"/>
      <c r="H17" s="10"/>
      <c r="I17" s="10"/>
      <c r="J17" s="10"/>
    </row>
    <row r="18" spans="1:10" x14ac:dyDescent="0.3">
      <c r="A18" s="21"/>
      <c r="B18" s="19"/>
      <c r="C18" s="12" t="s">
        <v>45</v>
      </c>
      <c r="D18" s="11">
        <v>348</v>
      </c>
      <c r="E18" s="11">
        <v>2</v>
      </c>
      <c r="F18" s="11">
        <v>0</v>
      </c>
      <c r="G18" s="11">
        <v>0</v>
      </c>
      <c r="H18" s="11">
        <v>7</v>
      </c>
      <c r="I18" s="11">
        <v>2</v>
      </c>
      <c r="J18" s="11">
        <v>359</v>
      </c>
    </row>
    <row r="19" spans="1:10" x14ac:dyDescent="0.3">
      <c r="A19" s="21"/>
      <c r="B19" s="19"/>
      <c r="C19" s="12" t="s">
        <v>0</v>
      </c>
      <c r="D19" s="11">
        <v>4</v>
      </c>
      <c r="E19" s="11">
        <v>2852</v>
      </c>
      <c r="F19" s="11">
        <v>0</v>
      </c>
      <c r="G19" s="11">
        <v>0</v>
      </c>
      <c r="H19" s="11">
        <v>5</v>
      </c>
      <c r="I19" s="11">
        <v>2</v>
      </c>
      <c r="J19" s="11">
        <v>2863</v>
      </c>
    </row>
    <row r="20" spans="1:10" x14ac:dyDescent="0.3">
      <c r="A20" s="21"/>
      <c r="B20" s="19"/>
      <c r="C20" s="12" t="s">
        <v>46</v>
      </c>
      <c r="D20" s="11">
        <v>0</v>
      </c>
      <c r="E20" s="11">
        <v>0</v>
      </c>
      <c r="F20" s="11">
        <v>1211</v>
      </c>
      <c r="G20" s="11">
        <v>0</v>
      </c>
      <c r="H20" s="11">
        <v>0</v>
      </c>
      <c r="I20" s="11">
        <v>0</v>
      </c>
      <c r="J20" s="11">
        <v>1211</v>
      </c>
    </row>
    <row r="21" spans="1:10" x14ac:dyDescent="0.3">
      <c r="A21" s="21"/>
      <c r="B21" s="19"/>
      <c r="C21" s="12" t="s">
        <v>1</v>
      </c>
      <c r="D21" s="11">
        <v>0</v>
      </c>
      <c r="E21" s="11">
        <v>0</v>
      </c>
      <c r="F21" s="11">
        <v>0</v>
      </c>
      <c r="G21" s="11">
        <v>83</v>
      </c>
      <c r="H21" s="11">
        <v>0</v>
      </c>
      <c r="I21" s="11">
        <v>0</v>
      </c>
      <c r="J21" s="11">
        <v>83</v>
      </c>
    </row>
    <row r="22" spans="1:10" x14ac:dyDescent="0.3">
      <c r="A22" s="21"/>
      <c r="B22" s="19"/>
      <c r="C22" s="12" t="s">
        <v>47</v>
      </c>
      <c r="D22" s="11">
        <v>28</v>
      </c>
      <c r="E22" s="11">
        <v>7</v>
      </c>
      <c r="F22" s="11">
        <v>0</v>
      </c>
      <c r="G22" s="11">
        <v>2</v>
      </c>
      <c r="H22" s="11">
        <v>1348</v>
      </c>
      <c r="I22" s="11">
        <v>1</v>
      </c>
      <c r="J22" s="11">
        <v>1386</v>
      </c>
    </row>
    <row r="23" spans="1:10" x14ac:dyDescent="0.3">
      <c r="A23" s="21"/>
      <c r="B23" s="19"/>
      <c r="C23" s="12" t="s">
        <v>48</v>
      </c>
      <c r="D23" s="11">
        <v>7</v>
      </c>
      <c r="E23" s="11">
        <v>3</v>
      </c>
      <c r="F23" s="11">
        <v>0</v>
      </c>
      <c r="G23" s="11">
        <v>0</v>
      </c>
      <c r="H23" s="11">
        <v>0</v>
      </c>
      <c r="I23" s="11">
        <v>93</v>
      </c>
      <c r="J23" s="11">
        <v>103</v>
      </c>
    </row>
    <row r="24" spans="1:10" x14ac:dyDescent="0.3">
      <c r="A24" s="21"/>
      <c r="B24" s="19"/>
      <c r="C24" s="12" t="s">
        <v>71</v>
      </c>
      <c r="D24" s="11">
        <v>432</v>
      </c>
      <c r="E24" s="11">
        <v>2902</v>
      </c>
      <c r="F24" s="11">
        <v>1319</v>
      </c>
      <c r="G24" s="11">
        <v>85</v>
      </c>
      <c r="H24" s="11">
        <v>1416</v>
      </c>
      <c r="I24" s="11">
        <v>103</v>
      </c>
      <c r="J24" s="11"/>
    </row>
    <row r="25" spans="1:10" x14ac:dyDescent="0.3">
      <c r="A25" s="21"/>
      <c r="B25" s="19" t="s">
        <v>42</v>
      </c>
      <c r="C25" s="10"/>
      <c r="D25" s="10"/>
      <c r="E25" s="10"/>
      <c r="F25" s="10"/>
      <c r="G25" s="10"/>
      <c r="H25" s="10"/>
      <c r="I25" s="10"/>
      <c r="J25" s="10"/>
    </row>
    <row r="26" spans="1:10" x14ac:dyDescent="0.3">
      <c r="A26" s="21"/>
      <c r="B26" s="19"/>
      <c r="C26" s="12" t="s">
        <v>45</v>
      </c>
      <c r="D26" s="11">
        <v>358</v>
      </c>
      <c r="E26" s="11">
        <v>1</v>
      </c>
      <c r="F26" s="11">
        <v>0</v>
      </c>
      <c r="G26" s="11">
        <v>0</v>
      </c>
      <c r="H26" s="11">
        <v>6</v>
      </c>
      <c r="I26" s="11">
        <v>0</v>
      </c>
      <c r="J26" s="11">
        <v>365</v>
      </c>
    </row>
    <row r="27" spans="1:10" x14ac:dyDescent="0.3">
      <c r="A27" s="21"/>
      <c r="B27" s="19"/>
      <c r="C27" s="12" t="s">
        <v>0</v>
      </c>
      <c r="D27" s="11">
        <v>3</v>
      </c>
      <c r="E27" s="11">
        <v>2865</v>
      </c>
      <c r="F27" s="11">
        <v>0</v>
      </c>
      <c r="G27" s="11">
        <v>0</v>
      </c>
      <c r="H27" s="11">
        <v>6</v>
      </c>
      <c r="I27" s="11">
        <v>2</v>
      </c>
      <c r="J27" s="11">
        <v>2876</v>
      </c>
    </row>
    <row r="28" spans="1:10" x14ac:dyDescent="0.3">
      <c r="A28" s="21"/>
      <c r="B28" s="19"/>
      <c r="C28" s="12" t="s">
        <v>46</v>
      </c>
      <c r="D28" s="11">
        <v>0</v>
      </c>
      <c r="E28" s="11">
        <v>0</v>
      </c>
      <c r="F28" s="11">
        <v>1247</v>
      </c>
      <c r="G28" s="11">
        <v>0</v>
      </c>
      <c r="H28" s="11">
        <v>0</v>
      </c>
      <c r="I28" s="11">
        <v>0</v>
      </c>
      <c r="J28" s="11">
        <v>1247</v>
      </c>
    </row>
    <row r="29" spans="1:10" x14ac:dyDescent="0.3">
      <c r="A29" s="21"/>
      <c r="B29" s="19"/>
      <c r="C29" s="12" t="s">
        <v>1</v>
      </c>
      <c r="D29" s="11">
        <v>0</v>
      </c>
      <c r="E29" s="11">
        <v>0</v>
      </c>
      <c r="F29" s="11">
        <v>0</v>
      </c>
      <c r="G29" s="11">
        <v>85</v>
      </c>
      <c r="H29" s="11">
        <v>0</v>
      </c>
      <c r="I29" s="11">
        <v>0</v>
      </c>
      <c r="J29" s="11">
        <v>85</v>
      </c>
    </row>
    <row r="30" spans="1:10" x14ac:dyDescent="0.3">
      <c r="A30" s="21"/>
      <c r="B30" s="19"/>
      <c r="C30" s="12" t="s">
        <v>47</v>
      </c>
      <c r="D30" s="11">
        <v>27</v>
      </c>
      <c r="E30" s="11">
        <v>6</v>
      </c>
      <c r="F30" s="11">
        <v>0</v>
      </c>
      <c r="G30" s="11">
        <v>0</v>
      </c>
      <c r="H30" s="11">
        <v>1353</v>
      </c>
      <c r="I30" s="11">
        <v>1</v>
      </c>
      <c r="J30" s="11">
        <v>1387</v>
      </c>
    </row>
    <row r="31" spans="1:10" x14ac:dyDescent="0.3">
      <c r="A31" s="21"/>
      <c r="B31" s="19"/>
      <c r="C31" s="12" t="s">
        <v>48</v>
      </c>
      <c r="D31" s="11">
        <v>8</v>
      </c>
      <c r="E31" s="11">
        <v>1</v>
      </c>
      <c r="F31" s="11">
        <v>0</v>
      </c>
      <c r="G31" s="11">
        <v>0</v>
      </c>
      <c r="H31" s="11">
        <v>0</v>
      </c>
      <c r="I31" s="11">
        <v>94</v>
      </c>
      <c r="J31" s="11">
        <v>103</v>
      </c>
    </row>
    <row r="32" spans="1:10" x14ac:dyDescent="0.3">
      <c r="A32" s="21"/>
      <c r="B32" s="19"/>
      <c r="C32" s="12" t="s">
        <v>71</v>
      </c>
      <c r="D32" s="11">
        <v>432</v>
      </c>
      <c r="E32" s="11">
        <v>2902</v>
      </c>
      <c r="F32" s="11">
        <v>1319</v>
      </c>
      <c r="G32" s="11">
        <v>85</v>
      </c>
      <c r="H32" s="11">
        <v>1416</v>
      </c>
      <c r="I32" s="11">
        <v>103</v>
      </c>
      <c r="J32" s="11"/>
    </row>
    <row r="33" spans="1:10" x14ac:dyDescent="0.3">
      <c r="A33" s="21"/>
      <c r="B33" s="19" t="s">
        <v>43</v>
      </c>
      <c r="C33" s="10"/>
      <c r="D33" s="10"/>
      <c r="E33" s="10"/>
      <c r="F33" s="10"/>
      <c r="G33" s="10"/>
      <c r="H33" s="10"/>
      <c r="I33" s="10"/>
      <c r="J33" s="10"/>
    </row>
    <row r="34" spans="1:10" x14ac:dyDescent="0.3">
      <c r="A34" s="21"/>
      <c r="B34" s="19"/>
      <c r="C34" s="12" t="s">
        <v>45</v>
      </c>
      <c r="D34" s="11">
        <v>342</v>
      </c>
      <c r="E34" s="11">
        <v>2</v>
      </c>
      <c r="F34" s="11">
        <v>0</v>
      </c>
      <c r="G34" s="11">
        <v>0</v>
      </c>
      <c r="H34" s="11">
        <v>10</v>
      </c>
      <c r="I34" s="11">
        <v>2</v>
      </c>
      <c r="J34" s="11">
        <v>356</v>
      </c>
    </row>
    <row r="35" spans="1:10" x14ac:dyDescent="0.3">
      <c r="A35" s="21"/>
      <c r="B35" s="19"/>
      <c r="C35" s="12" t="s">
        <v>0</v>
      </c>
      <c r="D35" s="11">
        <v>5</v>
      </c>
      <c r="E35" s="11">
        <v>2855</v>
      </c>
      <c r="F35" s="11">
        <v>0</v>
      </c>
      <c r="G35" s="11">
        <v>0</v>
      </c>
      <c r="H35" s="11">
        <v>7</v>
      </c>
      <c r="I35" s="11">
        <v>3</v>
      </c>
      <c r="J35" s="11">
        <v>2870</v>
      </c>
    </row>
    <row r="36" spans="1:10" x14ac:dyDescent="0.3">
      <c r="A36" s="21"/>
      <c r="B36" s="19"/>
      <c r="C36" s="12" t="s">
        <v>46</v>
      </c>
      <c r="D36" s="11">
        <v>0</v>
      </c>
      <c r="E36" s="11">
        <v>0</v>
      </c>
      <c r="F36" s="11">
        <v>1225</v>
      </c>
      <c r="G36" s="11">
        <v>0</v>
      </c>
      <c r="H36" s="11">
        <v>0</v>
      </c>
      <c r="I36" s="11">
        <v>0</v>
      </c>
      <c r="J36" s="11">
        <v>1225</v>
      </c>
    </row>
    <row r="37" spans="1:10" x14ac:dyDescent="0.3">
      <c r="A37" s="21"/>
      <c r="B37" s="19"/>
      <c r="C37" s="12" t="s">
        <v>1</v>
      </c>
      <c r="D37" s="11">
        <v>0</v>
      </c>
      <c r="E37" s="11">
        <v>0</v>
      </c>
      <c r="F37" s="11">
        <v>0</v>
      </c>
      <c r="G37" s="11">
        <v>85</v>
      </c>
      <c r="H37" s="11">
        <v>0</v>
      </c>
      <c r="I37" s="11">
        <v>0</v>
      </c>
      <c r="J37" s="11">
        <v>85</v>
      </c>
    </row>
    <row r="38" spans="1:10" x14ac:dyDescent="0.3">
      <c r="A38" s="21"/>
      <c r="B38" s="19"/>
      <c r="C38" s="12" t="s">
        <v>47</v>
      </c>
      <c r="D38" s="11">
        <v>32</v>
      </c>
      <c r="E38" s="11">
        <v>8</v>
      </c>
      <c r="F38" s="11">
        <v>0</v>
      </c>
      <c r="G38" s="11">
        <v>0</v>
      </c>
      <c r="H38" s="11">
        <v>1375</v>
      </c>
      <c r="I38" s="11">
        <v>3</v>
      </c>
      <c r="J38" s="11">
        <v>1418</v>
      </c>
    </row>
    <row r="39" spans="1:10" x14ac:dyDescent="0.3">
      <c r="A39" s="21"/>
      <c r="B39" s="19"/>
      <c r="C39" s="12" t="s">
        <v>48</v>
      </c>
      <c r="D39" s="11">
        <v>10</v>
      </c>
      <c r="E39" s="11">
        <v>3</v>
      </c>
      <c r="F39" s="11">
        <v>0</v>
      </c>
      <c r="G39" s="11">
        <v>0</v>
      </c>
      <c r="H39" s="11">
        <v>0</v>
      </c>
      <c r="I39" s="11">
        <v>90</v>
      </c>
      <c r="J39" s="11">
        <v>103</v>
      </c>
    </row>
    <row r="40" spans="1:10" x14ac:dyDescent="0.3">
      <c r="A40" s="21"/>
      <c r="B40" s="19"/>
      <c r="C40" s="12" t="s">
        <v>71</v>
      </c>
      <c r="D40" s="11">
        <v>432</v>
      </c>
      <c r="E40" s="11">
        <v>2902</v>
      </c>
      <c r="F40" s="11">
        <v>1319</v>
      </c>
      <c r="G40" s="11">
        <v>85</v>
      </c>
      <c r="H40" s="11">
        <v>1416</v>
      </c>
      <c r="I40" s="11">
        <v>103</v>
      </c>
      <c r="J40" s="11"/>
    </row>
    <row r="41" spans="1:10" x14ac:dyDescent="0.3">
      <c r="A41" s="20" t="s">
        <v>88</v>
      </c>
      <c r="B41" s="19" t="s">
        <v>44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3">
      <c r="A42" s="20"/>
      <c r="B42" s="19"/>
      <c r="C42" s="12" t="s">
        <v>45</v>
      </c>
      <c r="D42" s="11">
        <v>70</v>
      </c>
      <c r="E42" s="11">
        <v>15</v>
      </c>
      <c r="F42" s="11">
        <v>0</v>
      </c>
      <c r="G42" s="11">
        <v>0</v>
      </c>
      <c r="H42" s="11">
        <v>12</v>
      </c>
      <c r="I42" s="11">
        <v>2</v>
      </c>
      <c r="J42" s="11">
        <f>SUM(D42:I42)</f>
        <v>99</v>
      </c>
    </row>
    <row r="43" spans="1:10" x14ac:dyDescent="0.3">
      <c r="A43" s="20"/>
      <c r="B43" s="19"/>
      <c r="C43" s="12" t="s">
        <v>0</v>
      </c>
      <c r="D43" s="11">
        <v>15</v>
      </c>
      <c r="E43" s="11">
        <v>754</v>
      </c>
      <c r="F43" s="11">
        <v>0</v>
      </c>
      <c r="G43" s="11">
        <v>0</v>
      </c>
      <c r="H43" s="11">
        <v>36</v>
      </c>
      <c r="I43" s="11">
        <v>2</v>
      </c>
      <c r="J43" s="11">
        <f t="shared" ref="J43:J47" si="1">SUM(D43:I43)</f>
        <v>807</v>
      </c>
    </row>
    <row r="44" spans="1:10" x14ac:dyDescent="0.3">
      <c r="A44" s="20"/>
      <c r="B44" s="19"/>
      <c r="C44" s="12" t="s">
        <v>46</v>
      </c>
      <c r="D44" s="11">
        <v>0</v>
      </c>
      <c r="E44" s="11">
        <v>0</v>
      </c>
      <c r="F44" s="11">
        <v>332</v>
      </c>
      <c r="G44" s="11">
        <v>0</v>
      </c>
      <c r="H44" s="11">
        <v>0</v>
      </c>
      <c r="I44" s="11">
        <v>0</v>
      </c>
      <c r="J44" s="11">
        <f t="shared" si="1"/>
        <v>332</v>
      </c>
    </row>
    <row r="45" spans="1:10" x14ac:dyDescent="0.3">
      <c r="A45" s="20"/>
      <c r="B45" s="19"/>
      <c r="C45" s="12" t="s">
        <v>1</v>
      </c>
      <c r="D45" s="11">
        <v>0</v>
      </c>
      <c r="E45" s="11">
        <v>0</v>
      </c>
      <c r="F45" s="11">
        <v>0</v>
      </c>
      <c r="G45" s="11">
        <v>8</v>
      </c>
      <c r="H45" s="11">
        <v>0</v>
      </c>
      <c r="I45" s="11">
        <v>0</v>
      </c>
      <c r="J45" s="11">
        <f t="shared" si="1"/>
        <v>8</v>
      </c>
    </row>
    <row r="46" spans="1:10" x14ac:dyDescent="0.3">
      <c r="A46" s="20"/>
      <c r="B46" s="19"/>
      <c r="C46" s="12" t="s">
        <v>47</v>
      </c>
      <c r="D46" s="11">
        <v>23</v>
      </c>
      <c r="E46" s="11">
        <v>35</v>
      </c>
      <c r="F46" s="11">
        <v>0</v>
      </c>
      <c r="G46" s="11">
        <v>1</v>
      </c>
      <c r="H46" s="11">
        <v>352</v>
      </c>
      <c r="I46" s="11">
        <v>0</v>
      </c>
      <c r="J46" s="11">
        <f t="shared" si="1"/>
        <v>411</v>
      </c>
    </row>
    <row r="47" spans="1:10" x14ac:dyDescent="0.3">
      <c r="A47" s="20"/>
      <c r="B47" s="19"/>
      <c r="C47" s="12" t="s">
        <v>48</v>
      </c>
      <c r="D47" s="11">
        <v>4</v>
      </c>
      <c r="E47" s="11">
        <v>2</v>
      </c>
      <c r="F47" s="11">
        <v>0</v>
      </c>
      <c r="G47" s="11">
        <v>0</v>
      </c>
      <c r="H47" s="11">
        <v>2</v>
      </c>
      <c r="I47" s="11">
        <v>19</v>
      </c>
      <c r="J47" s="11">
        <f t="shared" si="1"/>
        <v>27</v>
      </c>
    </row>
    <row r="48" spans="1:10" x14ac:dyDescent="0.3">
      <c r="A48" s="20"/>
      <c r="B48" s="19"/>
      <c r="C48" s="12" t="s">
        <v>71</v>
      </c>
      <c r="D48" s="11">
        <v>128</v>
      </c>
      <c r="E48" s="11">
        <v>815</v>
      </c>
      <c r="F48" s="11">
        <v>407</v>
      </c>
      <c r="G48" s="11">
        <v>20</v>
      </c>
      <c r="H48" s="11">
        <v>417</v>
      </c>
      <c r="I48" s="11">
        <v>25</v>
      </c>
      <c r="J48" s="11"/>
    </row>
    <row r="49" spans="1:10" x14ac:dyDescent="0.3">
      <c r="A49" s="20"/>
      <c r="B49" s="19" t="s">
        <v>40</v>
      </c>
      <c r="C49" s="10" t="s">
        <v>69</v>
      </c>
      <c r="D49" s="10" t="s">
        <v>45</v>
      </c>
      <c r="E49" s="10" t="s">
        <v>0</v>
      </c>
      <c r="F49" s="10" t="s">
        <v>46</v>
      </c>
      <c r="G49" s="10" t="s">
        <v>1</v>
      </c>
      <c r="H49" s="10" t="s">
        <v>47</v>
      </c>
      <c r="I49" s="10" t="s">
        <v>48</v>
      </c>
      <c r="J49" s="10" t="s">
        <v>70</v>
      </c>
    </row>
    <row r="50" spans="1:10" x14ac:dyDescent="0.3">
      <c r="A50" s="20"/>
      <c r="B50" s="19"/>
      <c r="C50" s="12" t="s">
        <v>45</v>
      </c>
      <c r="D50" s="11">
        <v>66</v>
      </c>
      <c r="E50" s="11">
        <v>15</v>
      </c>
      <c r="F50" s="11">
        <v>0</v>
      </c>
      <c r="G50" s="11">
        <v>0</v>
      </c>
      <c r="H50" s="11">
        <v>17</v>
      </c>
      <c r="I50" s="11">
        <v>3</v>
      </c>
      <c r="J50" s="11">
        <f>SUM(D50:I50)</f>
        <v>101</v>
      </c>
    </row>
    <row r="51" spans="1:10" x14ac:dyDescent="0.3">
      <c r="A51" s="20"/>
      <c r="B51" s="19"/>
      <c r="C51" s="12" t="s">
        <v>0</v>
      </c>
      <c r="D51" s="11">
        <v>12</v>
      </c>
      <c r="E51" s="11">
        <v>751</v>
      </c>
      <c r="F51" s="11">
        <v>0</v>
      </c>
      <c r="G51" s="11">
        <v>0</v>
      </c>
      <c r="H51" s="11">
        <v>39</v>
      </c>
      <c r="I51" s="11">
        <v>3</v>
      </c>
      <c r="J51" s="11">
        <f t="shared" ref="J51:J55" si="2">SUM(D51:I51)</f>
        <v>805</v>
      </c>
    </row>
    <row r="52" spans="1:10" x14ac:dyDescent="0.3">
      <c r="A52" s="20"/>
      <c r="B52" s="19"/>
      <c r="C52" s="12" t="s">
        <v>46</v>
      </c>
      <c r="D52" s="11">
        <v>0</v>
      </c>
      <c r="E52" s="11">
        <v>0</v>
      </c>
      <c r="F52" s="11">
        <v>326</v>
      </c>
      <c r="G52" s="11">
        <v>0</v>
      </c>
      <c r="H52" s="11">
        <v>0</v>
      </c>
      <c r="I52" s="11">
        <v>0</v>
      </c>
      <c r="J52" s="11">
        <f t="shared" si="2"/>
        <v>326</v>
      </c>
    </row>
    <row r="53" spans="1:10" x14ac:dyDescent="0.3">
      <c r="A53" s="20"/>
      <c r="B53" s="19"/>
      <c r="C53" s="12" t="s">
        <v>1</v>
      </c>
      <c r="D53" s="11">
        <v>0</v>
      </c>
      <c r="E53" s="11">
        <v>0</v>
      </c>
      <c r="F53" s="11">
        <v>0</v>
      </c>
      <c r="G53" s="11">
        <v>8</v>
      </c>
      <c r="H53" s="11">
        <v>0</v>
      </c>
      <c r="I53" s="11">
        <v>0</v>
      </c>
      <c r="J53" s="11">
        <f t="shared" si="2"/>
        <v>8</v>
      </c>
    </row>
    <row r="54" spans="1:10" x14ac:dyDescent="0.3">
      <c r="A54" s="20"/>
      <c r="B54" s="19"/>
      <c r="C54" s="12" t="s">
        <v>47</v>
      </c>
      <c r="D54" s="11">
        <v>30</v>
      </c>
      <c r="E54" s="11">
        <v>35</v>
      </c>
      <c r="F54" s="11">
        <v>0</v>
      </c>
      <c r="G54" s="11">
        <v>1</v>
      </c>
      <c r="H54" s="11">
        <v>345</v>
      </c>
      <c r="I54" s="11">
        <v>1</v>
      </c>
      <c r="J54" s="11">
        <f t="shared" si="2"/>
        <v>412</v>
      </c>
    </row>
    <row r="55" spans="1:10" x14ac:dyDescent="0.3">
      <c r="A55" s="20"/>
      <c r="B55" s="19"/>
      <c r="C55" s="12" t="s">
        <v>48</v>
      </c>
      <c r="D55" s="11">
        <v>4</v>
      </c>
      <c r="E55" s="11">
        <v>3</v>
      </c>
      <c r="F55" s="11">
        <v>0</v>
      </c>
      <c r="G55" s="11">
        <v>0</v>
      </c>
      <c r="H55" s="11">
        <v>1</v>
      </c>
      <c r="I55" s="11">
        <v>13</v>
      </c>
      <c r="J55" s="11">
        <f t="shared" si="2"/>
        <v>21</v>
      </c>
    </row>
    <row r="56" spans="1:10" x14ac:dyDescent="0.3">
      <c r="A56" s="20"/>
      <c r="B56" s="19"/>
      <c r="C56" s="12" t="s">
        <v>71</v>
      </c>
      <c r="D56" s="11">
        <v>128</v>
      </c>
      <c r="E56" s="11">
        <v>815</v>
      </c>
      <c r="F56" s="11">
        <v>407</v>
      </c>
      <c r="G56" s="11">
        <v>20</v>
      </c>
      <c r="H56" s="11">
        <v>417</v>
      </c>
      <c r="I56" s="11">
        <v>25</v>
      </c>
      <c r="J56" s="11"/>
    </row>
    <row r="57" spans="1:10" x14ac:dyDescent="0.3">
      <c r="A57" s="20"/>
      <c r="B57" s="19" t="s">
        <v>41</v>
      </c>
      <c r="C57" s="10" t="s">
        <v>69</v>
      </c>
      <c r="D57" s="10" t="s">
        <v>45</v>
      </c>
      <c r="E57" s="10" t="s">
        <v>0</v>
      </c>
      <c r="F57" s="10" t="s">
        <v>46</v>
      </c>
      <c r="G57" s="10" t="s">
        <v>1</v>
      </c>
      <c r="H57" s="10" t="s">
        <v>47</v>
      </c>
      <c r="I57" s="10" t="s">
        <v>48</v>
      </c>
      <c r="J57" s="10" t="s">
        <v>70</v>
      </c>
    </row>
    <row r="58" spans="1:10" x14ac:dyDescent="0.3">
      <c r="A58" s="20"/>
      <c r="B58" s="19"/>
      <c r="C58" s="12" t="s">
        <v>45</v>
      </c>
      <c r="D58" s="11">
        <v>62</v>
      </c>
      <c r="E58" s="11">
        <v>16</v>
      </c>
      <c r="F58" s="11">
        <v>0</v>
      </c>
      <c r="G58" s="11">
        <v>0</v>
      </c>
      <c r="H58" s="11">
        <v>19</v>
      </c>
      <c r="I58" s="11">
        <v>3</v>
      </c>
      <c r="J58" s="11">
        <f>SUM(D58:I58)</f>
        <v>100</v>
      </c>
    </row>
    <row r="59" spans="1:10" x14ac:dyDescent="0.3">
      <c r="A59" s="20"/>
      <c r="B59" s="19"/>
      <c r="C59" s="12" t="s">
        <v>0</v>
      </c>
      <c r="D59" s="11">
        <v>15</v>
      </c>
      <c r="E59" s="11">
        <v>748</v>
      </c>
      <c r="F59" s="11">
        <v>0</v>
      </c>
      <c r="G59" s="11">
        <v>0</v>
      </c>
      <c r="H59" s="11">
        <v>43</v>
      </c>
      <c r="I59" s="11">
        <v>4</v>
      </c>
      <c r="J59" s="11">
        <f t="shared" ref="J59:J63" si="3">SUM(D59:I59)</f>
        <v>810</v>
      </c>
    </row>
    <row r="60" spans="1:10" x14ac:dyDescent="0.3">
      <c r="A60" s="20"/>
      <c r="B60" s="19"/>
      <c r="C60" s="12" t="s">
        <v>46</v>
      </c>
      <c r="D60" s="11">
        <v>0</v>
      </c>
      <c r="E60" s="11">
        <v>0</v>
      </c>
      <c r="F60" s="11">
        <v>320</v>
      </c>
      <c r="G60" s="11">
        <v>0</v>
      </c>
      <c r="H60" s="11">
        <v>0</v>
      </c>
      <c r="I60" s="11">
        <v>0</v>
      </c>
      <c r="J60" s="11">
        <f t="shared" si="3"/>
        <v>320</v>
      </c>
    </row>
    <row r="61" spans="1:10" x14ac:dyDescent="0.3">
      <c r="A61" s="20"/>
      <c r="B61" s="19"/>
      <c r="C61" s="12" t="s">
        <v>1</v>
      </c>
      <c r="D61" s="11">
        <v>0</v>
      </c>
      <c r="E61" s="11">
        <v>0</v>
      </c>
      <c r="F61" s="11">
        <v>0</v>
      </c>
      <c r="G61" s="11">
        <v>8</v>
      </c>
      <c r="H61" s="11">
        <v>0</v>
      </c>
      <c r="I61" s="11">
        <v>0</v>
      </c>
      <c r="J61" s="11">
        <f t="shared" si="3"/>
        <v>8</v>
      </c>
    </row>
    <row r="62" spans="1:10" x14ac:dyDescent="0.3">
      <c r="A62" s="20"/>
      <c r="B62" s="19"/>
      <c r="C62" s="12" t="s">
        <v>47</v>
      </c>
      <c r="D62" s="11">
        <v>33</v>
      </c>
      <c r="E62" s="11">
        <v>38</v>
      </c>
      <c r="F62" s="11">
        <v>0</v>
      </c>
      <c r="G62" s="11">
        <v>1</v>
      </c>
      <c r="H62" s="11">
        <v>345</v>
      </c>
      <c r="I62" s="11">
        <v>1</v>
      </c>
      <c r="J62" s="11">
        <f t="shared" si="3"/>
        <v>418</v>
      </c>
    </row>
    <row r="63" spans="1:10" x14ac:dyDescent="0.3">
      <c r="A63" s="20"/>
      <c r="B63" s="19"/>
      <c r="C63" s="12" t="s">
        <v>48</v>
      </c>
      <c r="D63" s="11">
        <v>5</v>
      </c>
      <c r="E63" s="11">
        <v>4</v>
      </c>
      <c r="F63" s="11">
        <v>0</v>
      </c>
      <c r="G63" s="11">
        <v>0</v>
      </c>
      <c r="H63" s="11">
        <v>1</v>
      </c>
      <c r="I63" s="11">
        <v>12</v>
      </c>
      <c r="J63" s="11">
        <f t="shared" si="3"/>
        <v>22</v>
      </c>
    </row>
    <row r="64" spans="1:10" x14ac:dyDescent="0.3">
      <c r="A64" s="20"/>
      <c r="B64" s="19"/>
      <c r="C64" s="12" t="s">
        <v>71</v>
      </c>
      <c r="D64" s="11">
        <v>128</v>
      </c>
      <c r="E64" s="11">
        <v>815</v>
      </c>
      <c r="F64" s="11">
        <v>407</v>
      </c>
      <c r="G64" s="11">
        <v>20</v>
      </c>
      <c r="H64" s="11">
        <v>417</v>
      </c>
      <c r="I64" s="11">
        <v>25</v>
      </c>
      <c r="J64" s="11"/>
    </row>
    <row r="65" spans="1:10" x14ac:dyDescent="0.3">
      <c r="A65" s="20"/>
      <c r="B65" s="19" t="s">
        <v>42</v>
      </c>
      <c r="C65" s="10" t="s">
        <v>69</v>
      </c>
      <c r="D65" s="10" t="s">
        <v>45</v>
      </c>
      <c r="E65" s="10" t="s">
        <v>0</v>
      </c>
      <c r="F65" s="10" t="s">
        <v>46</v>
      </c>
      <c r="G65" s="10" t="s">
        <v>1</v>
      </c>
      <c r="H65" s="10" t="s">
        <v>47</v>
      </c>
      <c r="I65" s="10" t="s">
        <v>48</v>
      </c>
      <c r="J65" s="10" t="s">
        <v>70</v>
      </c>
    </row>
    <row r="66" spans="1:10" x14ac:dyDescent="0.3">
      <c r="A66" s="20"/>
      <c r="B66" s="19"/>
      <c r="C66" s="12" t="s">
        <v>45</v>
      </c>
      <c r="D66" s="11">
        <v>59</v>
      </c>
      <c r="E66" s="11">
        <v>18</v>
      </c>
      <c r="F66" s="11">
        <v>0</v>
      </c>
      <c r="G66" s="11">
        <v>0</v>
      </c>
      <c r="H66" s="11">
        <v>20</v>
      </c>
      <c r="I66" s="11">
        <v>4</v>
      </c>
      <c r="J66" s="11">
        <f>SUM(D66:I66)</f>
        <v>101</v>
      </c>
    </row>
    <row r="67" spans="1:10" x14ac:dyDescent="0.3">
      <c r="A67" s="20"/>
      <c r="B67" s="19"/>
      <c r="C67" s="12" t="s">
        <v>0</v>
      </c>
      <c r="D67" s="11">
        <v>16</v>
      </c>
      <c r="E67" s="11">
        <v>744</v>
      </c>
      <c r="F67" s="11">
        <v>0</v>
      </c>
      <c r="G67" s="11">
        <v>0</v>
      </c>
      <c r="H67" s="11">
        <v>46</v>
      </c>
      <c r="I67" s="11">
        <v>4</v>
      </c>
      <c r="J67" s="11">
        <f t="shared" ref="J67:J71" si="4">SUM(D67:I67)</f>
        <v>810</v>
      </c>
    </row>
    <row r="68" spans="1:10" x14ac:dyDescent="0.3">
      <c r="A68" s="20"/>
      <c r="B68" s="19"/>
      <c r="C68" s="12" t="s">
        <v>46</v>
      </c>
      <c r="D68" s="11">
        <v>0</v>
      </c>
      <c r="E68" s="11">
        <v>0</v>
      </c>
      <c r="F68" s="11">
        <v>318</v>
      </c>
      <c r="G68" s="11">
        <v>0</v>
      </c>
      <c r="H68" s="11">
        <v>0</v>
      </c>
      <c r="I68" s="11">
        <v>0</v>
      </c>
      <c r="J68" s="11">
        <f t="shared" si="4"/>
        <v>318</v>
      </c>
    </row>
    <row r="69" spans="1:10" x14ac:dyDescent="0.3">
      <c r="A69" s="20"/>
      <c r="B69" s="19"/>
      <c r="C69" s="12" t="s">
        <v>1</v>
      </c>
      <c r="D69" s="11">
        <v>0</v>
      </c>
      <c r="E69" s="11">
        <v>0</v>
      </c>
      <c r="F69" s="11">
        <v>0</v>
      </c>
      <c r="G69" s="11">
        <v>7</v>
      </c>
      <c r="H69" s="11">
        <v>0</v>
      </c>
      <c r="I69" s="11">
        <v>0</v>
      </c>
      <c r="J69" s="11">
        <f t="shared" si="4"/>
        <v>7</v>
      </c>
    </row>
    <row r="70" spans="1:10" x14ac:dyDescent="0.3">
      <c r="A70" s="20"/>
      <c r="B70" s="19"/>
      <c r="C70" s="12" t="s">
        <v>47</v>
      </c>
      <c r="D70" s="11">
        <v>36</v>
      </c>
      <c r="E70" s="11">
        <v>37</v>
      </c>
      <c r="F70" s="11">
        <v>0</v>
      </c>
      <c r="G70" s="11">
        <v>2</v>
      </c>
      <c r="H70" s="11">
        <v>338</v>
      </c>
      <c r="I70" s="11">
        <v>2</v>
      </c>
      <c r="J70" s="11">
        <f t="shared" si="4"/>
        <v>415</v>
      </c>
    </row>
    <row r="71" spans="1:10" x14ac:dyDescent="0.3">
      <c r="A71" s="20"/>
      <c r="B71" s="19"/>
      <c r="C71" s="12" t="s">
        <v>48</v>
      </c>
      <c r="D71" s="11">
        <v>6</v>
      </c>
      <c r="E71" s="11">
        <v>4</v>
      </c>
      <c r="F71" s="11">
        <v>0</v>
      </c>
      <c r="G71" s="11">
        <v>0</v>
      </c>
      <c r="H71" s="11">
        <v>2</v>
      </c>
      <c r="I71" s="11">
        <v>11</v>
      </c>
      <c r="J71" s="11">
        <f t="shared" si="4"/>
        <v>23</v>
      </c>
    </row>
    <row r="72" spans="1:10" x14ac:dyDescent="0.3">
      <c r="A72" s="20"/>
      <c r="B72" s="19"/>
      <c r="C72" s="12" t="s">
        <v>71</v>
      </c>
      <c r="D72" s="11">
        <v>128</v>
      </c>
      <c r="E72" s="11">
        <v>815</v>
      </c>
      <c r="F72" s="11">
        <v>407</v>
      </c>
      <c r="G72" s="11">
        <v>20</v>
      </c>
      <c r="H72" s="11">
        <v>417</v>
      </c>
      <c r="I72" s="11">
        <v>25</v>
      </c>
      <c r="J72" s="11"/>
    </row>
    <row r="73" spans="1:10" x14ac:dyDescent="0.3">
      <c r="A73" s="20"/>
      <c r="B73" s="19" t="s">
        <v>43</v>
      </c>
      <c r="C73" s="10" t="s">
        <v>69</v>
      </c>
      <c r="D73" s="10" t="s">
        <v>45</v>
      </c>
      <c r="E73" s="10" t="s">
        <v>0</v>
      </c>
      <c r="F73" s="10" t="s">
        <v>46</v>
      </c>
      <c r="G73" s="10" t="s">
        <v>1</v>
      </c>
      <c r="H73" s="10" t="s">
        <v>47</v>
      </c>
      <c r="I73" s="10" t="s">
        <v>48</v>
      </c>
      <c r="J73" s="10" t="s">
        <v>70</v>
      </c>
    </row>
    <row r="74" spans="1:10" x14ac:dyDescent="0.3">
      <c r="A74" s="20"/>
      <c r="B74" s="19"/>
      <c r="C74" s="12" t="s">
        <v>45</v>
      </c>
      <c r="D74" s="11">
        <v>55</v>
      </c>
      <c r="E74" s="11">
        <v>20</v>
      </c>
      <c r="F74" s="11">
        <v>0</v>
      </c>
      <c r="G74" s="11">
        <v>0</v>
      </c>
      <c r="H74" s="11">
        <v>21</v>
      </c>
      <c r="I74" s="11">
        <v>4</v>
      </c>
      <c r="J74" s="11">
        <f>SUM(D74:I74)</f>
        <v>100</v>
      </c>
    </row>
    <row r="75" spans="1:10" x14ac:dyDescent="0.3">
      <c r="A75" s="20"/>
      <c r="B75" s="19"/>
      <c r="C75" s="12" t="s">
        <v>0</v>
      </c>
      <c r="D75" s="11">
        <v>17</v>
      </c>
      <c r="E75" s="11">
        <v>742</v>
      </c>
      <c r="F75" s="11">
        <v>0</v>
      </c>
      <c r="G75" s="11">
        <v>0</v>
      </c>
      <c r="H75" s="11">
        <v>47</v>
      </c>
      <c r="I75" s="11">
        <v>5</v>
      </c>
      <c r="J75" s="11">
        <f t="shared" ref="J75:J79" si="5">SUM(D75:I75)</f>
        <v>811</v>
      </c>
    </row>
    <row r="76" spans="1:10" x14ac:dyDescent="0.3">
      <c r="A76" s="20"/>
      <c r="B76" s="19"/>
      <c r="C76" s="12" t="s">
        <v>46</v>
      </c>
      <c r="D76" s="11">
        <v>0</v>
      </c>
      <c r="E76" s="11">
        <v>0</v>
      </c>
      <c r="F76" s="11">
        <v>316</v>
      </c>
      <c r="G76" s="11">
        <v>0</v>
      </c>
      <c r="H76" s="11">
        <v>0</v>
      </c>
      <c r="I76" s="11">
        <v>0</v>
      </c>
      <c r="J76" s="11">
        <f t="shared" si="5"/>
        <v>316</v>
      </c>
    </row>
    <row r="77" spans="1:10" x14ac:dyDescent="0.3">
      <c r="A77" s="20"/>
      <c r="B77" s="19"/>
      <c r="C77" s="12" t="s">
        <v>1</v>
      </c>
      <c r="D77" s="11">
        <v>0</v>
      </c>
      <c r="E77" s="11">
        <v>0</v>
      </c>
      <c r="F77" s="11">
        <v>0</v>
      </c>
      <c r="G77" s="11">
        <v>7</v>
      </c>
      <c r="H77" s="11">
        <v>0</v>
      </c>
      <c r="I77" s="11">
        <v>0</v>
      </c>
      <c r="J77" s="11">
        <f t="shared" si="5"/>
        <v>7</v>
      </c>
    </row>
    <row r="78" spans="1:10" x14ac:dyDescent="0.3">
      <c r="A78" s="20"/>
      <c r="B78" s="19"/>
      <c r="C78" s="12" t="s">
        <v>47</v>
      </c>
      <c r="D78" s="11">
        <v>38</v>
      </c>
      <c r="E78" s="11">
        <v>40</v>
      </c>
      <c r="F78" s="11">
        <v>0</v>
      </c>
      <c r="G78" s="11">
        <v>1</v>
      </c>
      <c r="H78" s="11">
        <v>335</v>
      </c>
      <c r="I78" s="11">
        <v>3</v>
      </c>
      <c r="J78" s="11">
        <f t="shared" si="5"/>
        <v>417</v>
      </c>
    </row>
    <row r="79" spans="1:10" x14ac:dyDescent="0.3">
      <c r="A79" s="20"/>
      <c r="B79" s="19"/>
      <c r="C79" s="12" t="s">
        <v>48</v>
      </c>
      <c r="D79" s="11">
        <v>7</v>
      </c>
      <c r="E79" s="11">
        <v>5</v>
      </c>
      <c r="F79" s="11">
        <v>0</v>
      </c>
      <c r="G79" s="11">
        <v>0</v>
      </c>
      <c r="H79" s="11">
        <v>2</v>
      </c>
      <c r="I79" s="11">
        <v>10</v>
      </c>
      <c r="J79" s="11">
        <f t="shared" si="5"/>
        <v>24</v>
      </c>
    </row>
    <row r="80" spans="1:10" x14ac:dyDescent="0.3">
      <c r="A80" s="20"/>
      <c r="B80" s="19"/>
      <c r="C80" s="12" t="s">
        <v>71</v>
      </c>
      <c r="D80" s="11">
        <v>128</v>
      </c>
      <c r="E80" s="11">
        <v>815</v>
      </c>
      <c r="F80" s="11">
        <v>407</v>
      </c>
      <c r="G80" s="11">
        <v>20</v>
      </c>
      <c r="H80" s="11">
        <v>417</v>
      </c>
      <c r="I80" s="11">
        <v>25</v>
      </c>
      <c r="J80" s="11"/>
    </row>
  </sheetData>
  <mergeCells count="12">
    <mergeCell ref="B33:B40"/>
    <mergeCell ref="A1:A40"/>
    <mergeCell ref="B1:B8"/>
    <mergeCell ref="B9:B16"/>
    <mergeCell ref="B17:B24"/>
    <mergeCell ref="B25:B32"/>
    <mergeCell ref="B73:B80"/>
    <mergeCell ref="A41:A80"/>
    <mergeCell ref="B41:B48"/>
    <mergeCell ref="B49:B56"/>
    <mergeCell ref="B57:B64"/>
    <mergeCell ref="B65:B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5E34-9370-45D9-907D-34C759E72A20}">
  <dimension ref="A1:S45"/>
  <sheetViews>
    <sheetView topLeftCell="K1" workbookViewId="0">
      <selection activeCell="L1" sqref="L1:S45"/>
    </sheetView>
  </sheetViews>
  <sheetFormatPr defaultRowHeight="14.4" x14ac:dyDescent="0.3"/>
  <cols>
    <col min="1" max="1" width="14.88671875" bestFit="1" customWidth="1"/>
    <col min="2" max="2" width="4.6640625" bestFit="1" customWidth="1"/>
    <col min="3" max="3" width="10.109375" bestFit="1" customWidth="1"/>
    <col min="4" max="4" width="4" bestFit="1" customWidth="1"/>
    <col min="5" max="5" width="14.88671875" bestFit="1" customWidth="1"/>
    <col min="6" max="7" width="4.21875" bestFit="1" customWidth="1"/>
    <col min="11" max="11" width="48.6640625" bestFit="1" customWidth="1"/>
    <col min="12" max="12" width="19.21875" customWidth="1"/>
    <col min="13" max="13" width="4.6640625" bestFit="1" customWidth="1"/>
    <col min="14" max="14" width="10.44140625" bestFit="1" customWidth="1"/>
    <col min="15" max="15" width="4" bestFit="1" customWidth="1"/>
    <col min="16" max="16" width="15.88671875" bestFit="1" customWidth="1"/>
    <col min="17" max="18" width="4.21875" bestFit="1" customWidth="1"/>
    <col min="19" max="19" width="15.109375" bestFit="1" customWidth="1"/>
  </cols>
  <sheetData>
    <row r="1" spans="1:19" x14ac:dyDescent="0.3">
      <c r="A1" t="s">
        <v>44</v>
      </c>
      <c r="B1" t="s">
        <v>45</v>
      </c>
      <c r="C1" t="s">
        <v>0</v>
      </c>
      <c r="D1" t="s">
        <v>46</v>
      </c>
      <c r="E1" t="s">
        <v>1</v>
      </c>
      <c r="F1" t="s">
        <v>47</v>
      </c>
      <c r="G1" t="s">
        <v>48</v>
      </c>
      <c r="H1" s="1" t="s">
        <v>80</v>
      </c>
      <c r="I1" t="s">
        <v>9</v>
      </c>
      <c r="K1" t="s">
        <v>17</v>
      </c>
      <c r="L1" s="22" t="s">
        <v>44</v>
      </c>
      <c r="M1" s="22"/>
      <c r="N1" s="22"/>
      <c r="O1" s="22"/>
      <c r="P1" s="22"/>
      <c r="Q1" s="22"/>
      <c r="R1" s="22"/>
      <c r="S1" s="22"/>
    </row>
    <row r="2" spans="1:19" x14ac:dyDescent="0.3">
      <c r="A2" t="s">
        <v>45</v>
      </c>
      <c r="B2">
        <v>70</v>
      </c>
      <c r="C2">
        <v>15</v>
      </c>
      <c r="D2">
        <v>0</v>
      </c>
      <c r="E2">
        <v>0</v>
      </c>
      <c r="F2">
        <v>12</v>
      </c>
      <c r="G2">
        <v>2</v>
      </c>
      <c r="H2" s="1">
        <f>SUM(B2:G2)</f>
        <v>99</v>
      </c>
      <c r="I2">
        <v>128</v>
      </c>
      <c r="K2" t="s">
        <v>4</v>
      </c>
      <c r="L2" s="10" t="s">
        <v>69</v>
      </c>
      <c r="M2" s="10" t="s">
        <v>45</v>
      </c>
      <c r="N2" s="10" t="s">
        <v>0</v>
      </c>
      <c r="O2" s="10" t="s">
        <v>46</v>
      </c>
      <c r="P2" s="10" t="s">
        <v>1</v>
      </c>
      <c r="Q2" s="10" t="s">
        <v>47</v>
      </c>
      <c r="R2" s="10" t="s">
        <v>48</v>
      </c>
      <c r="S2" s="10" t="s">
        <v>70</v>
      </c>
    </row>
    <row r="3" spans="1:19" x14ac:dyDescent="0.3">
      <c r="A3" t="s">
        <v>0</v>
      </c>
      <c r="B3">
        <v>15</v>
      </c>
      <c r="C3">
        <v>754</v>
      </c>
      <c r="D3">
        <v>0</v>
      </c>
      <c r="E3">
        <v>0</v>
      </c>
      <c r="F3">
        <v>36</v>
      </c>
      <c r="G3">
        <v>2</v>
      </c>
      <c r="H3" s="1">
        <f t="shared" ref="H3:H7" si="0">SUM(B3:G3)</f>
        <v>807</v>
      </c>
      <c r="I3">
        <v>815</v>
      </c>
      <c r="K3" t="s">
        <v>18</v>
      </c>
      <c r="L3" s="12" t="s">
        <v>45</v>
      </c>
      <c r="M3" s="11">
        <v>70</v>
      </c>
      <c r="N3" s="11">
        <v>15</v>
      </c>
      <c r="O3" s="11">
        <v>0</v>
      </c>
      <c r="P3" s="11">
        <v>0</v>
      </c>
      <c r="Q3" s="11">
        <v>12</v>
      </c>
      <c r="R3" s="11">
        <v>2</v>
      </c>
      <c r="S3" s="11">
        <f>SUM(M3:R3)</f>
        <v>99</v>
      </c>
    </row>
    <row r="4" spans="1:19" x14ac:dyDescent="0.3">
      <c r="A4" t="s">
        <v>46</v>
      </c>
      <c r="B4">
        <v>0</v>
      </c>
      <c r="C4">
        <v>0</v>
      </c>
      <c r="D4">
        <v>332</v>
      </c>
      <c r="E4">
        <v>0</v>
      </c>
      <c r="F4">
        <v>0</v>
      </c>
      <c r="G4">
        <v>0</v>
      </c>
      <c r="H4" s="1">
        <f t="shared" si="0"/>
        <v>332</v>
      </c>
      <c r="I4">
        <v>407</v>
      </c>
      <c r="K4" t="s">
        <v>56</v>
      </c>
      <c r="L4" s="12" t="s">
        <v>0</v>
      </c>
      <c r="M4" s="11">
        <v>15</v>
      </c>
      <c r="N4" s="11">
        <v>754</v>
      </c>
      <c r="O4" s="11">
        <v>0</v>
      </c>
      <c r="P4" s="11">
        <v>0</v>
      </c>
      <c r="Q4" s="11">
        <v>36</v>
      </c>
      <c r="R4" s="11">
        <v>2</v>
      </c>
      <c r="S4" s="11">
        <f t="shared" ref="S4:S8" si="1">SUM(M4:R4)</f>
        <v>807</v>
      </c>
    </row>
    <row r="5" spans="1:19" x14ac:dyDescent="0.3">
      <c r="A5" t="s">
        <v>1</v>
      </c>
      <c r="B5">
        <v>0</v>
      </c>
      <c r="C5">
        <v>0</v>
      </c>
      <c r="D5">
        <v>0</v>
      </c>
      <c r="E5">
        <v>8</v>
      </c>
      <c r="F5">
        <v>0</v>
      </c>
      <c r="G5">
        <v>0</v>
      </c>
      <c r="H5" s="1">
        <f t="shared" si="0"/>
        <v>8</v>
      </c>
      <c r="I5">
        <v>20</v>
      </c>
      <c r="K5" t="s">
        <v>54</v>
      </c>
      <c r="L5" s="12" t="s">
        <v>46</v>
      </c>
      <c r="M5" s="11">
        <v>0</v>
      </c>
      <c r="N5" s="11">
        <v>0</v>
      </c>
      <c r="O5" s="11">
        <v>332</v>
      </c>
      <c r="P5" s="11">
        <v>0</v>
      </c>
      <c r="Q5" s="11">
        <v>0</v>
      </c>
      <c r="R5" s="11">
        <v>0</v>
      </c>
      <c r="S5" s="11">
        <f t="shared" si="1"/>
        <v>332</v>
      </c>
    </row>
    <row r="6" spans="1:19" x14ac:dyDescent="0.3">
      <c r="A6" t="s">
        <v>47</v>
      </c>
      <c r="B6">
        <v>23</v>
      </c>
      <c r="C6">
        <v>35</v>
      </c>
      <c r="D6">
        <v>0</v>
      </c>
      <c r="E6">
        <v>1</v>
      </c>
      <c r="F6">
        <v>352</v>
      </c>
      <c r="G6">
        <v>0</v>
      </c>
      <c r="H6" s="1">
        <f t="shared" si="0"/>
        <v>411</v>
      </c>
      <c r="I6">
        <v>417</v>
      </c>
      <c r="K6" t="s">
        <v>19</v>
      </c>
      <c r="L6" s="12" t="s">
        <v>1</v>
      </c>
      <c r="M6" s="11">
        <v>0</v>
      </c>
      <c r="N6" s="11">
        <v>0</v>
      </c>
      <c r="O6" s="11">
        <v>0</v>
      </c>
      <c r="P6" s="11">
        <v>8</v>
      </c>
      <c r="Q6" s="11">
        <v>0</v>
      </c>
      <c r="R6" s="11">
        <v>0</v>
      </c>
      <c r="S6" s="11">
        <f t="shared" si="1"/>
        <v>8</v>
      </c>
    </row>
    <row r="7" spans="1:19" x14ac:dyDescent="0.3">
      <c r="A7" t="s">
        <v>48</v>
      </c>
      <c r="B7">
        <v>4</v>
      </c>
      <c r="C7">
        <v>2</v>
      </c>
      <c r="D7">
        <v>0</v>
      </c>
      <c r="E7">
        <v>0</v>
      </c>
      <c r="F7">
        <v>2</v>
      </c>
      <c r="G7">
        <v>19</v>
      </c>
      <c r="H7" s="1">
        <f t="shared" si="0"/>
        <v>27</v>
      </c>
      <c r="I7">
        <v>25</v>
      </c>
      <c r="K7" t="s">
        <v>59</v>
      </c>
      <c r="L7" s="12" t="s">
        <v>47</v>
      </c>
      <c r="M7" s="11">
        <v>23</v>
      </c>
      <c r="N7" s="11">
        <v>35</v>
      </c>
      <c r="O7" s="11">
        <v>0</v>
      </c>
      <c r="P7" s="11">
        <v>1</v>
      </c>
      <c r="Q7" s="11">
        <v>352</v>
      </c>
      <c r="R7" s="11">
        <v>0</v>
      </c>
      <c r="S7" s="11">
        <f t="shared" si="1"/>
        <v>411</v>
      </c>
    </row>
    <row r="8" spans="1:19" x14ac:dyDescent="0.3">
      <c r="B8">
        <f>SUM(B2:B7)</f>
        <v>112</v>
      </c>
      <c r="C8">
        <f t="shared" ref="C8:G8" si="2">SUM(C2:C7)</f>
        <v>806</v>
      </c>
      <c r="D8">
        <f t="shared" si="2"/>
        <v>332</v>
      </c>
      <c r="E8">
        <f t="shared" si="2"/>
        <v>9</v>
      </c>
      <c r="F8">
        <f t="shared" si="2"/>
        <v>402</v>
      </c>
      <c r="G8">
        <f t="shared" si="2"/>
        <v>23</v>
      </c>
      <c r="H8">
        <f>SUM(B8:G8)</f>
        <v>1684</v>
      </c>
      <c r="I8">
        <f>SUM(I2:I7)</f>
        <v>1812</v>
      </c>
      <c r="K8" t="s">
        <v>51</v>
      </c>
      <c r="L8" s="12" t="s">
        <v>48</v>
      </c>
      <c r="M8" s="11">
        <v>4</v>
      </c>
      <c r="N8" s="11">
        <v>2</v>
      </c>
      <c r="O8" s="11">
        <v>0</v>
      </c>
      <c r="P8" s="11">
        <v>0</v>
      </c>
      <c r="Q8" s="11">
        <v>2</v>
      </c>
      <c r="R8" s="11">
        <v>19</v>
      </c>
      <c r="S8" s="11">
        <f t="shared" si="1"/>
        <v>27</v>
      </c>
    </row>
    <row r="9" spans="1:19" x14ac:dyDescent="0.3">
      <c r="K9" t="s">
        <v>20</v>
      </c>
      <c r="L9" s="12" t="s">
        <v>71</v>
      </c>
      <c r="M9" s="11">
        <v>128</v>
      </c>
      <c r="N9" s="11">
        <v>815</v>
      </c>
      <c r="O9" s="11">
        <v>407</v>
      </c>
      <c r="P9" s="11">
        <v>20</v>
      </c>
      <c r="Q9" s="11">
        <v>417</v>
      </c>
      <c r="R9" s="11">
        <v>25</v>
      </c>
      <c r="S9" s="11"/>
    </row>
    <row r="10" spans="1:19" x14ac:dyDescent="0.3">
      <c r="A10" t="s">
        <v>40</v>
      </c>
      <c r="B10" t="s">
        <v>45</v>
      </c>
      <c r="C10" t="s">
        <v>0</v>
      </c>
      <c r="D10" t="s">
        <v>46</v>
      </c>
      <c r="E10" t="s">
        <v>1</v>
      </c>
      <c r="F10" t="s">
        <v>47</v>
      </c>
      <c r="G10" t="s">
        <v>48</v>
      </c>
      <c r="H10" s="1" t="s">
        <v>80</v>
      </c>
      <c r="I10" t="s">
        <v>9</v>
      </c>
      <c r="K10" t="s">
        <v>4</v>
      </c>
      <c r="L10" s="22" t="s">
        <v>40</v>
      </c>
      <c r="M10" s="22"/>
      <c r="N10" s="22"/>
      <c r="O10" s="22"/>
      <c r="P10" s="22"/>
      <c r="Q10" s="22"/>
      <c r="R10" s="22"/>
      <c r="S10" s="22"/>
    </row>
    <row r="11" spans="1:19" x14ac:dyDescent="0.3">
      <c r="A11" t="s">
        <v>45</v>
      </c>
      <c r="B11">
        <v>76</v>
      </c>
      <c r="C11">
        <v>13</v>
      </c>
      <c r="D11">
        <v>0</v>
      </c>
      <c r="E11">
        <v>0</v>
      </c>
      <c r="F11">
        <v>15</v>
      </c>
      <c r="G11">
        <v>8</v>
      </c>
      <c r="H11">
        <f>SUM(B11:G11)</f>
        <v>112</v>
      </c>
      <c r="I11">
        <v>128</v>
      </c>
      <c r="L11" s="10" t="s">
        <v>69</v>
      </c>
      <c r="M11" s="10" t="s">
        <v>45</v>
      </c>
      <c r="N11" s="10" t="s">
        <v>0</v>
      </c>
      <c r="O11" s="10" t="s">
        <v>46</v>
      </c>
      <c r="P11" s="10" t="s">
        <v>1</v>
      </c>
      <c r="Q11" s="10" t="s">
        <v>47</v>
      </c>
      <c r="R11" s="10" t="s">
        <v>48</v>
      </c>
      <c r="S11" s="10" t="s">
        <v>70</v>
      </c>
    </row>
    <row r="12" spans="1:19" x14ac:dyDescent="0.3">
      <c r="A12" t="s">
        <v>0</v>
      </c>
      <c r="B12">
        <v>11</v>
      </c>
      <c r="C12">
        <v>766</v>
      </c>
      <c r="D12">
        <v>0</v>
      </c>
      <c r="E12">
        <v>0</v>
      </c>
      <c r="F12">
        <v>25</v>
      </c>
      <c r="G12">
        <v>3</v>
      </c>
      <c r="H12">
        <f t="shared" ref="H12:H16" si="3">SUM(B12:G12)</f>
        <v>805</v>
      </c>
      <c r="I12">
        <v>815</v>
      </c>
      <c r="L12" s="12" t="s">
        <v>45</v>
      </c>
      <c r="M12" s="11">
        <v>66</v>
      </c>
      <c r="N12" s="11">
        <v>15</v>
      </c>
      <c r="O12" s="11">
        <v>0</v>
      </c>
      <c r="P12" s="11">
        <v>0</v>
      </c>
      <c r="Q12" s="11">
        <v>17</v>
      </c>
      <c r="R12" s="11">
        <v>3</v>
      </c>
      <c r="S12" s="11">
        <f>SUM(M12:R12)</f>
        <v>101</v>
      </c>
    </row>
    <row r="13" spans="1:19" x14ac:dyDescent="0.3">
      <c r="A13" t="s">
        <v>46</v>
      </c>
      <c r="B13">
        <v>0</v>
      </c>
      <c r="C13">
        <v>0</v>
      </c>
      <c r="D13">
        <v>330</v>
      </c>
      <c r="E13">
        <v>0</v>
      </c>
      <c r="F13">
        <v>0</v>
      </c>
      <c r="G13">
        <v>0</v>
      </c>
      <c r="H13">
        <f t="shared" si="3"/>
        <v>330</v>
      </c>
      <c r="I13">
        <v>407</v>
      </c>
      <c r="L13" s="12" t="s">
        <v>0</v>
      </c>
      <c r="M13" s="11">
        <v>12</v>
      </c>
      <c r="N13" s="11">
        <v>751</v>
      </c>
      <c r="O13" s="11">
        <v>0</v>
      </c>
      <c r="P13" s="11">
        <v>0</v>
      </c>
      <c r="Q13" s="11">
        <v>39</v>
      </c>
      <c r="R13" s="11">
        <v>3</v>
      </c>
      <c r="S13" s="11">
        <f t="shared" ref="S13:S17" si="4">SUM(M13:R13)</f>
        <v>805</v>
      </c>
    </row>
    <row r="14" spans="1:19" x14ac:dyDescent="0.3">
      <c r="A14" t="s">
        <v>1</v>
      </c>
      <c r="B14">
        <v>0</v>
      </c>
      <c r="C14">
        <v>0</v>
      </c>
      <c r="D14">
        <v>0</v>
      </c>
      <c r="E14">
        <v>12</v>
      </c>
      <c r="F14">
        <v>0</v>
      </c>
      <c r="G14">
        <v>0</v>
      </c>
      <c r="H14">
        <f t="shared" si="3"/>
        <v>12</v>
      </c>
      <c r="I14">
        <v>20</v>
      </c>
      <c r="L14" s="12" t="s">
        <v>46</v>
      </c>
      <c r="M14" s="11">
        <v>0</v>
      </c>
      <c r="N14" s="11">
        <v>0</v>
      </c>
      <c r="O14" s="11">
        <v>326</v>
      </c>
      <c r="P14" s="11">
        <v>0</v>
      </c>
      <c r="Q14" s="11">
        <v>0</v>
      </c>
      <c r="R14" s="11">
        <v>0</v>
      </c>
      <c r="S14" s="11">
        <f t="shared" si="4"/>
        <v>326</v>
      </c>
    </row>
    <row r="15" spans="1:19" x14ac:dyDescent="0.3">
      <c r="A15" t="s">
        <v>47</v>
      </c>
      <c r="B15">
        <v>23</v>
      </c>
      <c r="C15">
        <v>28</v>
      </c>
      <c r="D15">
        <v>0</v>
      </c>
      <c r="E15">
        <v>1</v>
      </c>
      <c r="F15">
        <v>360</v>
      </c>
      <c r="G15">
        <v>0</v>
      </c>
      <c r="H15">
        <f t="shared" si="3"/>
        <v>412</v>
      </c>
      <c r="I15">
        <v>417</v>
      </c>
      <c r="L15" s="12" t="s">
        <v>1</v>
      </c>
      <c r="M15" s="11">
        <v>0</v>
      </c>
      <c r="N15" s="11">
        <v>0</v>
      </c>
      <c r="O15" s="11">
        <v>0</v>
      </c>
      <c r="P15" s="11">
        <v>8</v>
      </c>
      <c r="Q15" s="11">
        <v>0</v>
      </c>
      <c r="R15" s="11">
        <v>0</v>
      </c>
      <c r="S15" s="11">
        <f t="shared" si="4"/>
        <v>8</v>
      </c>
    </row>
    <row r="16" spans="1:19" x14ac:dyDescent="0.3">
      <c r="A16" t="s">
        <v>48</v>
      </c>
      <c r="B16">
        <v>1</v>
      </c>
      <c r="C16">
        <v>1</v>
      </c>
      <c r="D16">
        <v>0</v>
      </c>
      <c r="E16">
        <v>0</v>
      </c>
      <c r="F16">
        <v>2</v>
      </c>
      <c r="G16">
        <v>14</v>
      </c>
      <c r="H16">
        <f t="shared" si="3"/>
        <v>18</v>
      </c>
      <c r="I16">
        <v>25</v>
      </c>
      <c r="L16" s="12" t="s">
        <v>47</v>
      </c>
      <c r="M16" s="11">
        <v>30</v>
      </c>
      <c r="N16" s="11">
        <v>35</v>
      </c>
      <c r="O16" s="11">
        <v>0</v>
      </c>
      <c r="P16" s="11">
        <v>1</v>
      </c>
      <c r="Q16" s="11">
        <v>345</v>
      </c>
      <c r="R16" s="11">
        <v>1</v>
      </c>
      <c r="S16" s="11">
        <f t="shared" si="4"/>
        <v>412</v>
      </c>
    </row>
    <row r="17" spans="1:19" x14ac:dyDescent="0.3">
      <c r="H17">
        <f>SUM(H11:H16)</f>
        <v>1689</v>
      </c>
      <c r="I17">
        <f>SUM(I11:I16)</f>
        <v>1812</v>
      </c>
      <c r="L17" s="12" t="s">
        <v>48</v>
      </c>
      <c r="M17" s="11">
        <v>4</v>
      </c>
      <c r="N17" s="11">
        <v>3</v>
      </c>
      <c r="O17" s="11">
        <v>0</v>
      </c>
      <c r="P17" s="11">
        <v>0</v>
      </c>
      <c r="Q17" s="11">
        <v>1</v>
      </c>
      <c r="R17" s="11">
        <v>13</v>
      </c>
      <c r="S17" s="11">
        <f t="shared" si="4"/>
        <v>21</v>
      </c>
    </row>
    <row r="18" spans="1:19" x14ac:dyDescent="0.3">
      <c r="A18" t="s">
        <v>41</v>
      </c>
      <c r="B18" t="s">
        <v>45</v>
      </c>
      <c r="C18" t="s">
        <v>0</v>
      </c>
      <c r="D18" t="s">
        <v>46</v>
      </c>
      <c r="E18" t="s">
        <v>1</v>
      </c>
      <c r="F18" t="s">
        <v>47</v>
      </c>
      <c r="G18" t="s">
        <v>48</v>
      </c>
      <c r="H18" s="1" t="s">
        <v>80</v>
      </c>
      <c r="I18" t="s">
        <v>9</v>
      </c>
      <c r="L18" s="12" t="s">
        <v>71</v>
      </c>
      <c r="M18" s="11">
        <v>128</v>
      </c>
      <c r="N18" s="11">
        <v>815</v>
      </c>
      <c r="O18" s="11">
        <v>407</v>
      </c>
      <c r="P18" s="11">
        <v>20</v>
      </c>
      <c r="Q18" s="11">
        <v>417</v>
      </c>
      <c r="R18" s="11">
        <v>25</v>
      </c>
      <c r="S18" s="11"/>
    </row>
    <row r="19" spans="1:19" x14ac:dyDescent="0.3">
      <c r="A19" t="s">
        <v>45</v>
      </c>
      <c r="B19">
        <v>73</v>
      </c>
      <c r="C19">
        <v>14</v>
      </c>
      <c r="D19">
        <v>0</v>
      </c>
      <c r="E19">
        <v>0</v>
      </c>
      <c r="F19">
        <v>7</v>
      </c>
      <c r="G19">
        <v>2</v>
      </c>
      <c r="H19">
        <f>SUM(B19:G19)</f>
        <v>96</v>
      </c>
      <c r="I19">
        <v>128</v>
      </c>
      <c r="L19" s="22" t="s">
        <v>41</v>
      </c>
      <c r="M19" s="22"/>
      <c r="N19" s="22"/>
      <c r="O19" s="22"/>
      <c r="P19" s="22"/>
      <c r="Q19" s="22"/>
      <c r="R19" s="22"/>
      <c r="S19" s="22"/>
    </row>
    <row r="20" spans="1:19" x14ac:dyDescent="0.3">
      <c r="A20" t="s">
        <v>0</v>
      </c>
      <c r="B20">
        <v>14</v>
      </c>
      <c r="C20">
        <v>742</v>
      </c>
      <c r="D20">
        <v>0</v>
      </c>
      <c r="E20">
        <v>0</v>
      </c>
      <c r="F20">
        <v>34</v>
      </c>
      <c r="G20">
        <v>3</v>
      </c>
      <c r="H20">
        <f t="shared" ref="H20:H24" si="5">SUM(B20:G20)</f>
        <v>793</v>
      </c>
      <c r="I20">
        <v>815</v>
      </c>
      <c r="L20" s="10" t="s">
        <v>69</v>
      </c>
      <c r="M20" s="10" t="s">
        <v>45</v>
      </c>
      <c r="N20" s="10" t="s">
        <v>0</v>
      </c>
      <c r="O20" s="10" t="s">
        <v>46</v>
      </c>
      <c r="P20" s="10" t="s">
        <v>1</v>
      </c>
      <c r="Q20" s="10" t="s">
        <v>47</v>
      </c>
      <c r="R20" s="10" t="s">
        <v>48</v>
      </c>
      <c r="S20" s="10" t="s">
        <v>70</v>
      </c>
    </row>
    <row r="21" spans="1:19" x14ac:dyDescent="0.3">
      <c r="A21" t="s">
        <v>46</v>
      </c>
      <c r="B21">
        <v>0</v>
      </c>
      <c r="C21">
        <v>0</v>
      </c>
      <c r="D21">
        <v>319</v>
      </c>
      <c r="E21">
        <v>0</v>
      </c>
      <c r="F21">
        <v>0</v>
      </c>
      <c r="G21">
        <v>0</v>
      </c>
      <c r="H21">
        <f t="shared" si="5"/>
        <v>319</v>
      </c>
      <c r="I21">
        <v>407</v>
      </c>
      <c r="L21" s="12" t="s">
        <v>45</v>
      </c>
      <c r="M21" s="11">
        <v>62</v>
      </c>
      <c r="N21" s="11">
        <v>16</v>
      </c>
      <c r="O21" s="11">
        <v>0</v>
      </c>
      <c r="P21" s="11">
        <v>0</v>
      </c>
      <c r="Q21" s="11">
        <v>19</v>
      </c>
      <c r="R21" s="11">
        <v>3</v>
      </c>
      <c r="S21" s="11">
        <f>SUM(M21:R21)</f>
        <v>100</v>
      </c>
    </row>
    <row r="22" spans="1:19" x14ac:dyDescent="0.3">
      <c r="A22" t="s">
        <v>1</v>
      </c>
      <c r="B22">
        <v>1</v>
      </c>
      <c r="C22">
        <v>0</v>
      </c>
      <c r="D22">
        <v>0</v>
      </c>
      <c r="E22">
        <v>14</v>
      </c>
      <c r="F22">
        <v>1</v>
      </c>
      <c r="G22">
        <v>0</v>
      </c>
      <c r="H22">
        <f t="shared" si="5"/>
        <v>16</v>
      </c>
      <c r="I22">
        <v>20</v>
      </c>
      <c r="L22" s="12" t="s">
        <v>0</v>
      </c>
      <c r="M22" s="11">
        <v>15</v>
      </c>
      <c r="N22" s="11">
        <v>748</v>
      </c>
      <c r="O22" s="11">
        <v>0</v>
      </c>
      <c r="P22" s="11">
        <v>0</v>
      </c>
      <c r="Q22" s="11">
        <v>43</v>
      </c>
      <c r="R22" s="11">
        <v>4</v>
      </c>
      <c r="S22" s="11">
        <f t="shared" ref="S22:S26" si="6">SUM(M22:R22)</f>
        <v>810</v>
      </c>
    </row>
    <row r="23" spans="1:19" x14ac:dyDescent="0.3">
      <c r="A23" t="s">
        <v>47</v>
      </c>
      <c r="B23">
        <v>24</v>
      </c>
      <c r="C23">
        <v>44</v>
      </c>
      <c r="D23">
        <v>0</v>
      </c>
      <c r="E23">
        <v>0</v>
      </c>
      <c r="F23">
        <v>356</v>
      </c>
      <c r="G23">
        <v>0</v>
      </c>
      <c r="H23">
        <f t="shared" si="5"/>
        <v>424</v>
      </c>
      <c r="I23">
        <v>417</v>
      </c>
      <c r="L23" s="12" t="s">
        <v>46</v>
      </c>
      <c r="M23" s="11">
        <v>0</v>
      </c>
      <c r="N23" s="11">
        <v>0</v>
      </c>
      <c r="O23" s="11">
        <v>320</v>
      </c>
      <c r="P23" s="11">
        <v>0</v>
      </c>
      <c r="Q23" s="11">
        <v>0</v>
      </c>
      <c r="R23" s="11">
        <v>0</v>
      </c>
      <c r="S23" s="11">
        <f t="shared" si="6"/>
        <v>320</v>
      </c>
    </row>
    <row r="24" spans="1:19" x14ac:dyDescent="0.3">
      <c r="A24" t="s">
        <v>48</v>
      </c>
      <c r="B24">
        <v>2</v>
      </c>
      <c r="C24">
        <v>2</v>
      </c>
      <c r="D24">
        <v>0</v>
      </c>
      <c r="E24">
        <v>0</v>
      </c>
      <c r="F24">
        <v>2</v>
      </c>
      <c r="G24">
        <v>18</v>
      </c>
      <c r="H24">
        <f t="shared" si="5"/>
        <v>24</v>
      </c>
      <c r="I24">
        <v>25</v>
      </c>
      <c r="L24" s="12" t="s">
        <v>1</v>
      </c>
      <c r="M24" s="11">
        <v>0</v>
      </c>
      <c r="N24" s="11">
        <v>0</v>
      </c>
      <c r="O24" s="11">
        <v>0</v>
      </c>
      <c r="P24" s="11">
        <v>8</v>
      </c>
      <c r="Q24" s="11">
        <v>0</v>
      </c>
      <c r="R24" s="11">
        <v>0</v>
      </c>
      <c r="S24" s="11">
        <f t="shared" si="6"/>
        <v>8</v>
      </c>
    </row>
    <row r="25" spans="1:19" x14ac:dyDescent="0.3">
      <c r="H25">
        <f>SUM(H19:H24)</f>
        <v>1672</v>
      </c>
      <c r="I25">
        <f>SUM(I19:I24)</f>
        <v>1812</v>
      </c>
      <c r="L25" s="12" t="s">
        <v>47</v>
      </c>
      <c r="M25" s="11">
        <v>33</v>
      </c>
      <c r="N25" s="11">
        <v>38</v>
      </c>
      <c r="O25" s="11">
        <v>0</v>
      </c>
      <c r="P25" s="11">
        <v>1</v>
      </c>
      <c r="Q25" s="11">
        <v>345</v>
      </c>
      <c r="R25" s="11">
        <v>1</v>
      </c>
      <c r="S25" s="11">
        <f t="shared" si="6"/>
        <v>418</v>
      </c>
    </row>
    <row r="26" spans="1:19" x14ac:dyDescent="0.3">
      <c r="A26" t="s">
        <v>42</v>
      </c>
      <c r="B26" t="s">
        <v>45</v>
      </c>
      <c r="C26" t="s">
        <v>0</v>
      </c>
      <c r="D26" t="s">
        <v>46</v>
      </c>
      <c r="E26" t="s">
        <v>1</v>
      </c>
      <c r="F26" t="s">
        <v>47</v>
      </c>
      <c r="G26" t="s">
        <v>48</v>
      </c>
      <c r="H26" s="1" t="s">
        <v>80</v>
      </c>
      <c r="I26" t="s">
        <v>9</v>
      </c>
      <c r="L26" s="12" t="s">
        <v>48</v>
      </c>
      <c r="M26" s="11">
        <v>5</v>
      </c>
      <c r="N26" s="11">
        <v>4</v>
      </c>
      <c r="O26" s="11">
        <v>0</v>
      </c>
      <c r="P26" s="11">
        <v>0</v>
      </c>
      <c r="Q26" s="11">
        <v>1</v>
      </c>
      <c r="R26" s="11">
        <v>12</v>
      </c>
      <c r="S26" s="11">
        <f t="shared" si="6"/>
        <v>22</v>
      </c>
    </row>
    <row r="27" spans="1:19" x14ac:dyDescent="0.3">
      <c r="A27" t="s">
        <v>45</v>
      </c>
      <c r="B27">
        <v>75</v>
      </c>
      <c r="C27">
        <v>9</v>
      </c>
      <c r="D27">
        <v>0</v>
      </c>
      <c r="E27">
        <v>0</v>
      </c>
      <c r="F27">
        <v>11</v>
      </c>
      <c r="G27">
        <v>4</v>
      </c>
      <c r="H27">
        <f>SUM(B27:G27)</f>
        <v>99</v>
      </c>
      <c r="I27">
        <v>128</v>
      </c>
      <c r="L27" s="12" t="s">
        <v>71</v>
      </c>
      <c r="M27" s="11">
        <v>128</v>
      </c>
      <c r="N27" s="11">
        <v>815</v>
      </c>
      <c r="O27" s="11">
        <v>407</v>
      </c>
      <c r="P27" s="11">
        <v>20</v>
      </c>
      <c r="Q27" s="11">
        <v>417</v>
      </c>
      <c r="R27" s="11">
        <v>25</v>
      </c>
      <c r="S27" s="11"/>
    </row>
    <row r="28" spans="1:19" x14ac:dyDescent="0.3">
      <c r="A28" t="s">
        <v>0</v>
      </c>
      <c r="B28">
        <v>13</v>
      </c>
      <c r="C28">
        <v>765</v>
      </c>
      <c r="D28">
        <v>0</v>
      </c>
      <c r="E28">
        <v>0</v>
      </c>
      <c r="F28">
        <v>39</v>
      </c>
      <c r="G28">
        <v>5</v>
      </c>
      <c r="H28">
        <f t="shared" ref="H28:H32" si="7">SUM(B28:G28)</f>
        <v>822</v>
      </c>
      <c r="I28">
        <v>815</v>
      </c>
      <c r="L28" s="22" t="s">
        <v>42</v>
      </c>
      <c r="M28" s="22"/>
      <c r="N28" s="22"/>
      <c r="O28" s="22"/>
      <c r="P28" s="22"/>
      <c r="Q28" s="22"/>
      <c r="R28" s="22"/>
      <c r="S28" s="22"/>
    </row>
    <row r="29" spans="1:19" x14ac:dyDescent="0.3">
      <c r="A29" t="s">
        <v>46</v>
      </c>
      <c r="B29">
        <v>0</v>
      </c>
      <c r="C29">
        <v>0</v>
      </c>
      <c r="D29">
        <v>320</v>
      </c>
      <c r="E29">
        <v>0</v>
      </c>
      <c r="F29">
        <v>0</v>
      </c>
      <c r="G29">
        <v>0</v>
      </c>
      <c r="H29">
        <f t="shared" si="7"/>
        <v>320</v>
      </c>
      <c r="I29">
        <v>407</v>
      </c>
      <c r="L29" s="10" t="s">
        <v>69</v>
      </c>
      <c r="M29" s="10" t="s">
        <v>45</v>
      </c>
      <c r="N29" s="10" t="s">
        <v>0</v>
      </c>
      <c r="O29" s="10" t="s">
        <v>46</v>
      </c>
      <c r="P29" s="10" t="s">
        <v>1</v>
      </c>
      <c r="Q29" s="10" t="s">
        <v>47</v>
      </c>
      <c r="R29" s="10" t="s">
        <v>48</v>
      </c>
      <c r="S29" s="10" t="s">
        <v>70</v>
      </c>
    </row>
    <row r="30" spans="1:19" x14ac:dyDescent="0.3">
      <c r="A30" t="s">
        <v>1</v>
      </c>
      <c r="B30">
        <v>1</v>
      </c>
      <c r="C30">
        <v>0</v>
      </c>
      <c r="D30">
        <v>0</v>
      </c>
      <c r="E30">
        <v>11</v>
      </c>
      <c r="F30">
        <v>0</v>
      </c>
      <c r="G30">
        <v>0</v>
      </c>
      <c r="H30">
        <f t="shared" si="7"/>
        <v>12</v>
      </c>
      <c r="I30">
        <v>20</v>
      </c>
      <c r="L30" s="12" t="s">
        <v>45</v>
      </c>
      <c r="M30" s="11">
        <v>59</v>
      </c>
      <c r="N30" s="11">
        <v>18</v>
      </c>
      <c r="O30" s="11">
        <v>0</v>
      </c>
      <c r="P30" s="11">
        <v>0</v>
      </c>
      <c r="Q30" s="11">
        <v>20</v>
      </c>
      <c r="R30" s="11">
        <v>4</v>
      </c>
      <c r="S30" s="11">
        <f>SUM(M30:R30)</f>
        <v>101</v>
      </c>
    </row>
    <row r="31" spans="1:19" x14ac:dyDescent="0.3">
      <c r="A31" t="s">
        <v>47</v>
      </c>
      <c r="B31">
        <v>24</v>
      </c>
      <c r="C31">
        <v>30</v>
      </c>
      <c r="D31">
        <v>0</v>
      </c>
      <c r="E31">
        <v>1</v>
      </c>
      <c r="F31">
        <v>350</v>
      </c>
      <c r="G31">
        <v>0</v>
      </c>
      <c r="H31">
        <f t="shared" si="7"/>
        <v>405</v>
      </c>
      <c r="I31">
        <v>417</v>
      </c>
      <c r="L31" s="12" t="s">
        <v>0</v>
      </c>
      <c r="M31" s="11">
        <v>16</v>
      </c>
      <c r="N31" s="11">
        <v>744</v>
      </c>
      <c r="O31" s="11">
        <v>0</v>
      </c>
      <c r="P31" s="11">
        <v>0</v>
      </c>
      <c r="Q31" s="11">
        <v>46</v>
      </c>
      <c r="R31" s="11">
        <v>4</v>
      </c>
      <c r="S31" s="11">
        <f t="shared" ref="S31:S35" si="8">SUM(M31:R31)</f>
        <v>810</v>
      </c>
    </row>
    <row r="32" spans="1:19" x14ac:dyDescent="0.3">
      <c r="A32" t="s">
        <v>48</v>
      </c>
      <c r="B32">
        <v>1</v>
      </c>
      <c r="C32">
        <v>3</v>
      </c>
      <c r="D32">
        <v>0</v>
      </c>
      <c r="E32">
        <v>0</v>
      </c>
      <c r="F32">
        <v>2</v>
      </c>
      <c r="G32">
        <v>15</v>
      </c>
      <c r="H32">
        <f t="shared" si="7"/>
        <v>21</v>
      </c>
      <c r="I32">
        <v>25</v>
      </c>
      <c r="L32" s="12" t="s">
        <v>46</v>
      </c>
      <c r="M32" s="11">
        <v>0</v>
      </c>
      <c r="N32" s="11">
        <v>0</v>
      </c>
      <c r="O32" s="11">
        <v>318</v>
      </c>
      <c r="P32" s="11">
        <v>0</v>
      </c>
      <c r="Q32" s="11">
        <v>0</v>
      </c>
      <c r="R32" s="11">
        <v>0</v>
      </c>
      <c r="S32" s="11">
        <f t="shared" si="8"/>
        <v>318</v>
      </c>
    </row>
    <row r="33" spans="1:19" x14ac:dyDescent="0.3">
      <c r="H33">
        <f>SUM(H27:H32)</f>
        <v>1679</v>
      </c>
      <c r="I33">
        <f>SUM(I27:I32)</f>
        <v>1812</v>
      </c>
      <c r="L33" s="12" t="s">
        <v>1</v>
      </c>
      <c r="M33" s="11">
        <v>0</v>
      </c>
      <c r="N33" s="11">
        <v>0</v>
      </c>
      <c r="O33" s="11">
        <v>0</v>
      </c>
      <c r="P33" s="11">
        <v>7</v>
      </c>
      <c r="Q33" s="11">
        <v>0</v>
      </c>
      <c r="R33" s="11">
        <v>0</v>
      </c>
      <c r="S33" s="11">
        <f t="shared" si="8"/>
        <v>7</v>
      </c>
    </row>
    <row r="34" spans="1:19" x14ac:dyDescent="0.3">
      <c r="A34" t="s">
        <v>43</v>
      </c>
      <c r="B34" t="s">
        <v>45</v>
      </c>
      <c r="C34" t="s">
        <v>0</v>
      </c>
      <c r="D34" t="s">
        <v>46</v>
      </c>
      <c r="E34" t="s">
        <v>1</v>
      </c>
      <c r="F34" t="s">
        <v>47</v>
      </c>
      <c r="G34" t="s">
        <v>48</v>
      </c>
      <c r="H34" s="1" t="s">
        <v>80</v>
      </c>
      <c r="I34" t="s">
        <v>9</v>
      </c>
      <c r="L34" s="12" t="s">
        <v>47</v>
      </c>
      <c r="M34" s="11">
        <v>36</v>
      </c>
      <c r="N34" s="11">
        <v>37</v>
      </c>
      <c r="O34" s="11">
        <v>0</v>
      </c>
      <c r="P34" s="11">
        <v>2</v>
      </c>
      <c r="Q34" s="11">
        <v>338</v>
      </c>
      <c r="R34" s="11">
        <v>2</v>
      </c>
      <c r="S34" s="11">
        <f t="shared" si="8"/>
        <v>415</v>
      </c>
    </row>
    <row r="35" spans="1:19" x14ac:dyDescent="0.3">
      <c r="A35" t="s">
        <v>45</v>
      </c>
      <c r="B35">
        <v>70</v>
      </c>
      <c r="C35">
        <v>15</v>
      </c>
      <c r="D35">
        <v>0</v>
      </c>
      <c r="E35">
        <v>0</v>
      </c>
      <c r="F35">
        <v>11</v>
      </c>
      <c r="G35">
        <v>1</v>
      </c>
      <c r="H35">
        <f>SUM(B35:G35)</f>
        <v>97</v>
      </c>
      <c r="I35">
        <v>128</v>
      </c>
      <c r="L35" s="12" t="s">
        <v>48</v>
      </c>
      <c r="M35" s="11">
        <v>6</v>
      </c>
      <c r="N35" s="11">
        <v>4</v>
      </c>
      <c r="O35" s="11">
        <v>0</v>
      </c>
      <c r="P35" s="11">
        <v>0</v>
      </c>
      <c r="Q35" s="11">
        <v>2</v>
      </c>
      <c r="R35" s="11">
        <v>11</v>
      </c>
      <c r="S35" s="11">
        <f t="shared" si="8"/>
        <v>23</v>
      </c>
    </row>
    <row r="36" spans="1:19" x14ac:dyDescent="0.3">
      <c r="A36" t="s">
        <v>0</v>
      </c>
      <c r="B36">
        <v>16</v>
      </c>
      <c r="C36">
        <v>764</v>
      </c>
      <c r="D36">
        <v>0</v>
      </c>
      <c r="E36">
        <v>0</v>
      </c>
      <c r="F36">
        <v>28</v>
      </c>
      <c r="G36">
        <v>4</v>
      </c>
      <c r="H36">
        <f t="shared" ref="H36:H39" si="9">SUM(B36:G36)</f>
        <v>812</v>
      </c>
      <c r="I36">
        <v>815</v>
      </c>
      <c r="L36" s="12" t="s">
        <v>71</v>
      </c>
      <c r="M36" s="11">
        <v>128</v>
      </c>
      <c r="N36" s="11">
        <v>815</v>
      </c>
      <c r="O36" s="11">
        <v>407</v>
      </c>
      <c r="P36" s="11">
        <v>20</v>
      </c>
      <c r="Q36" s="11">
        <v>417</v>
      </c>
      <c r="R36" s="11">
        <v>25</v>
      </c>
      <c r="S36" s="11"/>
    </row>
    <row r="37" spans="1:19" x14ac:dyDescent="0.3">
      <c r="A37" t="s">
        <v>46</v>
      </c>
      <c r="B37">
        <v>0</v>
      </c>
      <c r="C37">
        <v>0</v>
      </c>
      <c r="D37">
        <v>321</v>
      </c>
      <c r="E37">
        <v>0</v>
      </c>
      <c r="F37">
        <v>0</v>
      </c>
      <c r="G37">
        <v>0</v>
      </c>
      <c r="H37">
        <f t="shared" si="9"/>
        <v>321</v>
      </c>
      <c r="I37">
        <v>407</v>
      </c>
      <c r="L37" s="22" t="s">
        <v>43</v>
      </c>
      <c r="M37" s="22"/>
      <c r="N37" s="22"/>
      <c r="O37" s="22"/>
      <c r="P37" s="22"/>
      <c r="Q37" s="22"/>
      <c r="R37" s="22"/>
      <c r="S37" s="22"/>
    </row>
    <row r="38" spans="1:19" x14ac:dyDescent="0.3">
      <c r="A38" t="s">
        <v>1</v>
      </c>
      <c r="B38">
        <v>1</v>
      </c>
      <c r="C38">
        <v>0</v>
      </c>
      <c r="D38">
        <v>0</v>
      </c>
      <c r="E38">
        <v>12</v>
      </c>
      <c r="F38">
        <v>1</v>
      </c>
      <c r="G38">
        <v>0</v>
      </c>
      <c r="H38">
        <f t="shared" si="9"/>
        <v>14</v>
      </c>
      <c r="I38">
        <v>20</v>
      </c>
      <c r="L38" s="10" t="s">
        <v>69</v>
      </c>
      <c r="M38" s="10" t="s">
        <v>45</v>
      </c>
      <c r="N38" s="10" t="s">
        <v>0</v>
      </c>
      <c r="O38" s="10" t="s">
        <v>46</v>
      </c>
      <c r="P38" s="10" t="s">
        <v>1</v>
      </c>
      <c r="Q38" s="10" t="s">
        <v>47</v>
      </c>
      <c r="R38" s="10" t="s">
        <v>48</v>
      </c>
      <c r="S38" s="10" t="s">
        <v>70</v>
      </c>
    </row>
    <row r="39" spans="1:19" x14ac:dyDescent="0.3">
      <c r="A39" t="s">
        <v>47</v>
      </c>
      <c r="B39">
        <v>26</v>
      </c>
      <c r="C39">
        <v>27</v>
      </c>
      <c r="D39">
        <v>0</v>
      </c>
      <c r="E39">
        <v>0</v>
      </c>
      <c r="F39">
        <v>360</v>
      </c>
      <c r="G39">
        <v>0</v>
      </c>
      <c r="H39">
        <f t="shared" si="9"/>
        <v>413</v>
      </c>
      <c r="I39">
        <v>417</v>
      </c>
      <c r="L39" s="12" t="s">
        <v>45</v>
      </c>
      <c r="M39" s="11">
        <v>55</v>
      </c>
      <c r="N39" s="11">
        <v>20</v>
      </c>
      <c r="O39" s="11">
        <v>0</v>
      </c>
      <c r="P39" s="11">
        <v>0</v>
      </c>
      <c r="Q39" s="11">
        <v>21</v>
      </c>
      <c r="R39" s="11">
        <v>4</v>
      </c>
      <c r="S39" s="11">
        <f>SUM(M39:R39)</f>
        <v>100</v>
      </c>
    </row>
    <row r="40" spans="1:19" x14ac:dyDescent="0.3">
      <c r="A40" t="s">
        <v>48</v>
      </c>
      <c r="B40">
        <v>2</v>
      </c>
      <c r="C40">
        <v>1</v>
      </c>
      <c r="D40">
        <v>0</v>
      </c>
      <c r="E40">
        <v>0</v>
      </c>
      <c r="F40">
        <v>2</v>
      </c>
      <c r="G40">
        <v>19</v>
      </c>
      <c r="H40">
        <f>SUM(B40:G40)</f>
        <v>24</v>
      </c>
      <c r="I40">
        <v>25</v>
      </c>
      <c r="L40" s="12" t="s">
        <v>0</v>
      </c>
      <c r="M40" s="11">
        <v>17</v>
      </c>
      <c r="N40" s="11">
        <v>742</v>
      </c>
      <c r="O40" s="11">
        <v>0</v>
      </c>
      <c r="P40" s="11">
        <v>0</v>
      </c>
      <c r="Q40" s="11">
        <v>47</v>
      </c>
      <c r="R40" s="11">
        <v>5</v>
      </c>
      <c r="S40" s="11">
        <f t="shared" ref="S40:S44" si="10">SUM(M40:R40)</f>
        <v>811</v>
      </c>
    </row>
    <row r="41" spans="1:19" x14ac:dyDescent="0.3">
      <c r="H41">
        <f>SUM(H35:H40)</f>
        <v>1681</v>
      </c>
      <c r="I41">
        <f>SUM(I35:I40)</f>
        <v>1812</v>
      </c>
      <c r="L41" s="12" t="s">
        <v>46</v>
      </c>
      <c r="M41" s="11">
        <v>0</v>
      </c>
      <c r="N41" s="11">
        <v>0</v>
      </c>
      <c r="O41" s="11">
        <v>316</v>
      </c>
      <c r="P41" s="11">
        <v>0</v>
      </c>
      <c r="Q41" s="11">
        <v>0</v>
      </c>
      <c r="R41" s="11">
        <v>0</v>
      </c>
      <c r="S41" s="11">
        <f t="shared" si="10"/>
        <v>316</v>
      </c>
    </row>
    <row r="42" spans="1:19" x14ac:dyDescent="0.3">
      <c r="L42" s="12" t="s">
        <v>1</v>
      </c>
      <c r="M42" s="11">
        <v>0</v>
      </c>
      <c r="N42" s="11">
        <v>0</v>
      </c>
      <c r="O42" s="11">
        <v>0</v>
      </c>
      <c r="P42" s="11">
        <v>7</v>
      </c>
      <c r="Q42" s="11">
        <v>0</v>
      </c>
      <c r="R42" s="11">
        <v>0</v>
      </c>
      <c r="S42" s="11">
        <f t="shared" si="10"/>
        <v>7</v>
      </c>
    </row>
    <row r="43" spans="1:19" x14ac:dyDescent="0.3">
      <c r="L43" s="12" t="s">
        <v>47</v>
      </c>
      <c r="M43" s="11">
        <v>38</v>
      </c>
      <c r="N43" s="11">
        <v>40</v>
      </c>
      <c r="O43" s="11">
        <v>0</v>
      </c>
      <c r="P43" s="11">
        <v>1</v>
      </c>
      <c r="Q43" s="11">
        <v>335</v>
      </c>
      <c r="R43" s="11">
        <v>3</v>
      </c>
      <c r="S43" s="11">
        <f t="shared" si="10"/>
        <v>417</v>
      </c>
    </row>
    <row r="44" spans="1:19" x14ac:dyDescent="0.3">
      <c r="L44" s="12" t="s">
        <v>48</v>
      </c>
      <c r="M44" s="11">
        <v>7</v>
      </c>
      <c r="N44" s="11">
        <v>5</v>
      </c>
      <c r="O44" s="11">
        <v>0</v>
      </c>
      <c r="P44" s="11">
        <v>0</v>
      </c>
      <c r="Q44" s="11">
        <v>2</v>
      </c>
      <c r="R44" s="11">
        <v>10</v>
      </c>
      <c r="S44" s="11">
        <f t="shared" si="10"/>
        <v>24</v>
      </c>
    </row>
    <row r="45" spans="1:19" x14ac:dyDescent="0.3">
      <c r="L45" s="12" t="s">
        <v>71</v>
      </c>
      <c r="M45" s="11">
        <v>128</v>
      </c>
      <c r="N45" s="11">
        <v>815</v>
      </c>
      <c r="O45" s="11">
        <v>407</v>
      </c>
      <c r="P45" s="11">
        <v>20</v>
      </c>
      <c r="Q45" s="11">
        <v>417</v>
      </c>
      <c r="R45" s="11">
        <v>25</v>
      </c>
      <c r="S45" s="11"/>
    </row>
  </sheetData>
  <mergeCells count="5">
    <mergeCell ref="L19:S19"/>
    <mergeCell ref="L10:S10"/>
    <mergeCell ref="L1:S1"/>
    <mergeCell ref="L28:S28"/>
    <mergeCell ref="L37:S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4609-8FA7-4343-ACEE-836866714D08}">
  <dimension ref="A1:AD109"/>
  <sheetViews>
    <sheetView workbookViewId="0">
      <selection activeCell="AC30" sqref="AC30"/>
    </sheetView>
  </sheetViews>
  <sheetFormatPr defaultRowHeight="14.4" x14ac:dyDescent="0.3"/>
  <cols>
    <col min="1" max="1" width="7.5546875" bestFit="1" customWidth="1"/>
    <col min="2" max="2" width="9" bestFit="1" customWidth="1"/>
    <col min="3" max="3" width="14.88671875" bestFit="1" customWidth="1"/>
    <col min="4" max="4" width="4.6640625" bestFit="1" customWidth="1"/>
    <col min="5" max="5" width="7.33203125" customWidth="1"/>
    <col min="6" max="6" width="5" bestFit="1" customWidth="1"/>
    <col min="7" max="7" width="5.6640625" customWidth="1"/>
    <col min="8" max="8" width="5" bestFit="1" customWidth="1"/>
    <col min="9" max="9" width="4.21875" bestFit="1" customWidth="1"/>
  </cols>
  <sheetData>
    <row r="1" spans="1:30" ht="57.6" x14ac:dyDescent="0.3">
      <c r="A1" s="10" t="s">
        <v>89</v>
      </c>
      <c r="B1" s="10" t="s">
        <v>90</v>
      </c>
      <c r="C1" s="14" t="s">
        <v>91</v>
      </c>
      <c r="D1" s="10" t="s">
        <v>45</v>
      </c>
      <c r="E1" s="10" t="s">
        <v>0</v>
      </c>
      <c r="F1" s="10" t="s">
        <v>46</v>
      </c>
      <c r="G1" s="10" t="s">
        <v>1</v>
      </c>
      <c r="H1" s="10" t="s">
        <v>47</v>
      </c>
      <c r="I1" s="10" t="s">
        <v>48</v>
      </c>
    </row>
    <row r="2" spans="1:30" x14ac:dyDescent="0.3">
      <c r="A2" s="24" t="s">
        <v>92</v>
      </c>
      <c r="B2" s="20" t="s">
        <v>93</v>
      </c>
      <c r="C2" s="13" t="s">
        <v>45</v>
      </c>
      <c r="D2" s="11">
        <v>369</v>
      </c>
      <c r="E2" s="13">
        <v>2</v>
      </c>
      <c r="F2" s="11">
        <v>1</v>
      </c>
      <c r="G2" s="11">
        <v>1</v>
      </c>
      <c r="H2" s="11">
        <v>2</v>
      </c>
      <c r="I2" s="11">
        <v>1</v>
      </c>
      <c r="J2">
        <f>SUM(D2:I2)</f>
        <v>376</v>
      </c>
      <c r="K2" s="23">
        <f>SUM(J2:J7)</f>
        <v>6085</v>
      </c>
    </row>
    <row r="3" spans="1:30" x14ac:dyDescent="0.3">
      <c r="A3" s="24"/>
      <c r="B3" s="20"/>
      <c r="C3" s="13" t="s">
        <v>0</v>
      </c>
      <c r="D3" s="11">
        <v>8</v>
      </c>
      <c r="E3" s="13">
        <v>2843</v>
      </c>
      <c r="F3" s="11">
        <v>5</v>
      </c>
      <c r="G3" s="11">
        <v>5</v>
      </c>
      <c r="H3" s="11">
        <v>6</v>
      </c>
      <c r="I3" s="11">
        <v>6</v>
      </c>
      <c r="J3">
        <f t="shared" ref="J3:J66" si="0">SUM(D3:I3)</f>
        <v>2873</v>
      </c>
      <c r="K3" s="23"/>
    </row>
    <row r="4" spans="1:30" x14ac:dyDescent="0.3">
      <c r="A4" s="24"/>
      <c r="B4" s="20"/>
      <c r="C4" s="13" t="s">
        <v>46</v>
      </c>
      <c r="D4" s="11">
        <v>3</v>
      </c>
      <c r="E4" s="13">
        <v>2</v>
      </c>
      <c r="F4" s="11">
        <v>1242</v>
      </c>
      <c r="G4" s="11">
        <v>2</v>
      </c>
      <c r="H4" s="11">
        <v>2</v>
      </c>
      <c r="I4" s="11">
        <v>2</v>
      </c>
      <c r="J4">
        <f t="shared" si="0"/>
        <v>1253</v>
      </c>
      <c r="K4" s="23"/>
    </row>
    <row r="5" spans="1:30" x14ac:dyDescent="0.3">
      <c r="A5" s="24"/>
      <c r="B5" s="20"/>
      <c r="C5" s="13" t="s">
        <v>1</v>
      </c>
      <c r="D5" s="11">
        <v>1</v>
      </c>
      <c r="E5" s="13">
        <v>0</v>
      </c>
      <c r="F5" s="11">
        <v>0</v>
      </c>
      <c r="G5" s="11">
        <v>84</v>
      </c>
      <c r="H5" s="11">
        <v>0</v>
      </c>
      <c r="I5" s="11">
        <v>0</v>
      </c>
      <c r="J5">
        <f t="shared" si="0"/>
        <v>85</v>
      </c>
      <c r="K5" s="23"/>
    </row>
    <row r="6" spans="1:30" x14ac:dyDescent="0.3">
      <c r="A6" s="24"/>
      <c r="B6" s="20"/>
      <c r="C6" s="13" t="s">
        <v>47</v>
      </c>
      <c r="D6" s="11">
        <v>16</v>
      </c>
      <c r="E6" s="13">
        <v>8</v>
      </c>
      <c r="F6" s="11">
        <v>3</v>
      </c>
      <c r="G6" s="11">
        <v>2</v>
      </c>
      <c r="H6" s="11">
        <v>1364</v>
      </c>
      <c r="I6" s="11">
        <v>2</v>
      </c>
      <c r="J6">
        <f t="shared" si="0"/>
        <v>1395</v>
      </c>
      <c r="K6" s="23"/>
    </row>
    <row r="7" spans="1:30" x14ac:dyDescent="0.3">
      <c r="A7" s="24"/>
      <c r="B7" s="20"/>
      <c r="C7" s="13" t="s">
        <v>48</v>
      </c>
      <c r="D7" s="11">
        <v>6</v>
      </c>
      <c r="E7" s="13">
        <v>1</v>
      </c>
      <c r="F7" s="11">
        <v>0</v>
      </c>
      <c r="G7" s="11">
        <v>0</v>
      </c>
      <c r="H7" s="11">
        <v>0</v>
      </c>
      <c r="I7" s="11">
        <v>96</v>
      </c>
      <c r="J7">
        <f t="shared" si="0"/>
        <v>103</v>
      </c>
      <c r="K7" s="23"/>
    </row>
    <row r="8" spans="1:30" x14ac:dyDescent="0.3">
      <c r="A8" s="24"/>
      <c r="B8" s="24" t="s">
        <v>94</v>
      </c>
      <c r="C8" s="13" t="s">
        <v>45</v>
      </c>
      <c r="D8" s="11">
        <v>70</v>
      </c>
      <c r="E8" s="13">
        <v>15</v>
      </c>
      <c r="F8" s="11">
        <v>0</v>
      </c>
      <c r="G8" s="11">
        <v>0</v>
      </c>
      <c r="H8" s="11">
        <v>12</v>
      </c>
      <c r="I8" s="11">
        <v>2</v>
      </c>
      <c r="J8">
        <f t="shared" si="0"/>
        <v>99</v>
      </c>
      <c r="K8" s="25">
        <f>SUM(J8:J13)</f>
        <v>1684</v>
      </c>
    </row>
    <row r="9" spans="1:30" x14ac:dyDescent="0.3">
      <c r="A9" s="24"/>
      <c r="B9" s="24"/>
      <c r="C9" s="13" t="s">
        <v>0</v>
      </c>
      <c r="D9" s="11">
        <v>16</v>
      </c>
      <c r="E9" s="13">
        <v>750</v>
      </c>
      <c r="F9" s="11">
        <v>1</v>
      </c>
      <c r="G9" s="11">
        <v>1</v>
      </c>
      <c r="H9" s="11">
        <v>37</v>
      </c>
      <c r="I9" s="11">
        <v>2</v>
      </c>
      <c r="J9">
        <f t="shared" si="0"/>
        <v>807</v>
      </c>
      <c r="K9" s="25"/>
    </row>
    <row r="10" spans="1:30" x14ac:dyDescent="0.3">
      <c r="A10" s="24"/>
      <c r="B10" s="24"/>
      <c r="C10" s="13" t="s">
        <v>46</v>
      </c>
      <c r="D10" s="11">
        <v>1</v>
      </c>
      <c r="E10" s="13">
        <v>1</v>
      </c>
      <c r="F10" s="11">
        <v>330</v>
      </c>
      <c r="G10" s="11">
        <v>0</v>
      </c>
      <c r="H10" s="11">
        <v>0</v>
      </c>
      <c r="I10" s="11">
        <v>0</v>
      </c>
      <c r="J10">
        <f t="shared" si="0"/>
        <v>332</v>
      </c>
      <c r="K10" s="25"/>
    </row>
    <row r="11" spans="1:30" x14ac:dyDescent="0.3">
      <c r="A11" s="24"/>
      <c r="B11" s="24"/>
      <c r="C11" s="13" t="s">
        <v>1</v>
      </c>
      <c r="D11" s="11">
        <v>0</v>
      </c>
      <c r="E11" s="13">
        <v>0</v>
      </c>
      <c r="F11" s="11">
        <v>0</v>
      </c>
      <c r="G11" s="11">
        <v>8</v>
      </c>
      <c r="H11" s="11">
        <v>0</v>
      </c>
      <c r="I11" s="11">
        <v>0</v>
      </c>
      <c r="J11">
        <f t="shared" si="0"/>
        <v>8</v>
      </c>
      <c r="K11" s="25"/>
    </row>
    <row r="12" spans="1:30" x14ac:dyDescent="0.3">
      <c r="A12" s="24"/>
      <c r="B12" s="24"/>
      <c r="C12" s="13" t="s">
        <v>47</v>
      </c>
      <c r="D12" s="11">
        <v>24</v>
      </c>
      <c r="E12" s="13">
        <v>36</v>
      </c>
      <c r="F12" s="11">
        <v>0</v>
      </c>
      <c r="G12" s="11">
        <v>1</v>
      </c>
      <c r="H12" s="11">
        <v>350</v>
      </c>
      <c r="I12" s="11">
        <v>0</v>
      </c>
      <c r="J12">
        <f t="shared" si="0"/>
        <v>411</v>
      </c>
      <c r="K12" s="25"/>
    </row>
    <row r="13" spans="1:30" x14ac:dyDescent="0.3">
      <c r="A13" s="24"/>
      <c r="B13" s="24"/>
      <c r="C13" s="13" t="s">
        <v>48</v>
      </c>
      <c r="D13" s="11">
        <v>4</v>
      </c>
      <c r="E13" s="13">
        <v>2</v>
      </c>
      <c r="F13" s="11">
        <v>0</v>
      </c>
      <c r="G13" s="11">
        <v>0</v>
      </c>
      <c r="H13" s="11">
        <v>2</v>
      </c>
      <c r="I13" s="11">
        <v>19</v>
      </c>
      <c r="J13">
        <f t="shared" si="0"/>
        <v>27</v>
      </c>
      <c r="K13" s="25"/>
      <c r="W13" t="s">
        <v>101</v>
      </c>
    </row>
    <row r="14" spans="1:30" ht="28.8" x14ac:dyDescent="0.3">
      <c r="A14" s="24"/>
      <c r="B14" s="24" t="s">
        <v>95</v>
      </c>
      <c r="C14" s="13" t="s">
        <v>45</v>
      </c>
      <c r="D14" s="11">
        <v>36</v>
      </c>
      <c r="E14" s="13">
        <v>9</v>
      </c>
      <c r="F14" s="11">
        <v>0</v>
      </c>
      <c r="G14" s="11">
        <v>0</v>
      </c>
      <c r="H14" s="11">
        <v>4</v>
      </c>
      <c r="I14" s="11">
        <v>2</v>
      </c>
      <c r="J14">
        <f t="shared" si="0"/>
        <v>51</v>
      </c>
      <c r="K14" s="26">
        <f>SUM(J14:J19)</f>
        <v>850</v>
      </c>
      <c r="N14" s="24" t="s">
        <v>95</v>
      </c>
      <c r="O14" s="13" t="s">
        <v>45</v>
      </c>
      <c r="P14" s="11">
        <v>36</v>
      </c>
      <c r="Q14" s="13">
        <v>9</v>
      </c>
      <c r="R14" s="11">
        <v>0</v>
      </c>
      <c r="S14" s="11">
        <v>0</v>
      </c>
      <c r="T14" s="11">
        <v>4</v>
      </c>
      <c r="U14" s="11">
        <v>2</v>
      </c>
      <c r="W14" s="10"/>
      <c r="X14" s="10" t="s">
        <v>45</v>
      </c>
      <c r="Y14" s="10" t="s">
        <v>0</v>
      </c>
      <c r="Z14" s="10" t="s">
        <v>46</v>
      </c>
      <c r="AA14" s="10" t="s">
        <v>1</v>
      </c>
      <c r="AB14" s="10" t="s">
        <v>47</v>
      </c>
      <c r="AC14" s="10" t="s">
        <v>48</v>
      </c>
      <c r="AD14" s="10" t="s">
        <v>8</v>
      </c>
    </row>
    <row r="15" spans="1:30" x14ac:dyDescent="0.3">
      <c r="A15" s="24"/>
      <c r="B15" s="24"/>
      <c r="C15" s="13" t="s">
        <v>0</v>
      </c>
      <c r="D15" s="11">
        <v>14</v>
      </c>
      <c r="E15" s="13">
        <v>368</v>
      </c>
      <c r="F15" s="11">
        <v>0</v>
      </c>
      <c r="G15" s="11">
        <v>0</v>
      </c>
      <c r="H15" s="11">
        <v>18</v>
      </c>
      <c r="I15" s="11">
        <v>5</v>
      </c>
      <c r="J15">
        <f t="shared" si="0"/>
        <v>405</v>
      </c>
      <c r="K15" s="26"/>
      <c r="N15" s="24"/>
      <c r="O15" s="13" t="s">
        <v>0</v>
      </c>
      <c r="P15" s="11">
        <v>14</v>
      </c>
      <c r="Q15" s="13">
        <v>368</v>
      </c>
      <c r="R15" s="11">
        <v>0</v>
      </c>
      <c r="S15" s="11">
        <v>0</v>
      </c>
      <c r="T15" s="11">
        <v>18</v>
      </c>
      <c r="U15" s="11">
        <v>5</v>
      </c>
      <c r="W15" s="12" t="s">
        <v>45</v>
      </c>
      <c r="X15" s="11">
        <v>19</v>
      </c>
      <c r="Y15" s="11">
        <v>4</v>
      </c>
      <c r="Z15" s="11">
        <v>0</v>
      </c>
      <c r="AA15" s="11">
        <v>0</v>
      </c>
      <c r="AB15" s="11">
        <v>2</v>
      </c>
      <c r="AC15" s="11">
        <v>1</v>
      </c>
      <c r="AD15" s="11">
        <v>26</v>
      </c>
    </row>
    <row r="16" spans="1:30" ht="28.8" x14ac:dyDescent="0.3">
      <c r="A16" s="24"/>
      <c r="B16" s="24"/>
      <c r="C16" s="13" t="s">
        <v>46</v>
      </c>
      <c r="D16" s="11">
        <v>0</v>
      </c>
      <c r="E16" s="13">
        <v>0</v>
      </c>
      <c r="F16" s="11">
        <v>154</v>
      </c>
      <c r="G16" s="11">
        <v>0</v>
      </c>
      <c r="H16" s="11">
        <v>0</v>
      </c>
      <c r="I16" s="11">
        <v>0</v>
      </c>
      <c r="J16">
        <f t="shared" si="0"/>
        <v>154</v>
      </c>
      <c r="K16" s="26"/>
      <c r="N16" s="24"/>
      <c r="O16" s="13" t="s">
        <v>46</v>
      </c>
      <c r="P16" s="11">
        <v>0</v>
      </c>
      <c r="Q16" s="13">
        <v>0</v>
      </c>
      <c r="R16" s="11">
        <v>154</v>
      </c>
      <c r="S16" s="11">
        <v>0</v>
      </c>
      <c r="T16" s="11">
        <v>0</v>
      </c>
      <c r="U16" s="11">
        <v>0</v>
      </c>
      <c r="W16" s="12" t="s">
        <v>0</v>
      </c>
      <c r="X16" s="11">
        <v>7</v>
      </c>
      <c r="Y16" s="11">
        <v>181</v>
      </c>
      <c r="Z16" s="11">
        <v>0</v>
      </c>
      <c r="AA16" s="11">
        <v>0</v>
      </c>
      <c r="AB16" s="11">
        <v>9</v>
      </c>
      <c r="AC16" s="11">
        <v>3</v>
      </c>
      <c r="AD16" s="11">
        <v>200</v>
      </c>
    </row>
    <row r="17" spans="1:30" x14ac:dyDescent="0.3">
      <c r="A17" s="24"/>
      <c r="B17" s="24"/>
      <c r="C17" s="13" t="s">
        <v>1</v>
      </c>
      <c r="D17" s="11">
        <v>0</v>
      </c>
      <c r="E17" s="13">
        <v>0</v>
      </c>
      <c r="F17" s="11">
        <v>0</v>
      </c>
      <c r="G17" s="11">
        <v>11</v>
      </c>
      <c r="H17" s="11">
        <v>2</v>
      </c>
      <c r="I17" s="11">
        <v>0</v>
      </c>
      <c r="J17">
        <f t="shared" si="0"/>
        <v>13</v>
      </c>
      <c r="K17" s="26"/>
      <c r="N17" s="24"/>
      <c r="O17" s="13" t="s">
        <v>1</v>
      </c>
      <c r="P17" s="11">
        <v>0</v>
      </c>
      <c r="Q17" s="13">
        <v>0</v>
      </c>
      <c r="R17" s="11">
        <v>0</v>
      </c>
      <c r="S17" s="11">
        <v>11</v>
      </c>
      <c r="T17" s="11">
        <v>2</v>
      </c>
      <c r="U17" s="11">
        <v>0</v>
      </c>
      <c r="W17" s="12" t="s">
        <v>46</v>
      </c>
      <c r="X17" s="11">
        <v>0</v>
      </c>
      <c r="Y17" s="11">
        <v>0</v>
      </c>
      <c r="Z17" s="11">
        <v>75</v>
      </c>
      <c r="AA17" s="11">
        <v>0</v>
      </c>
      <c r="AB17" s="11">
        <v>0</v>
      </c>
      <c r="AC17" s="11">
        <v>0</v>
      </c>
      <c r="AD17" s="11">
        <v>75</v>
      </c>
    </row>
    <row r="18" spans="1:30" ht="28.8" x14ac:dyDescent="0.3">
      <c r="A18" s="24"/>
      <c r="B18" s="24"/>
      <c r="C18" s="13" t="s">
        <v>47</v>
      </c>
      <c r="D18" s="11">
        <v>18</v>
      </c>
      <c r="E18" s="13">
        <v>23</v>
      </c>
      <c r="F18" s="11">
        <v>0</v>
      </c>
      <c r="G18" s="11">
        <v>0</v>
      </c>
      <c r="H18" s="11">
        <v>169</v>
      </c>
      <c r="I18" s="11">
        <v>0</v>
      </c>
      <c r="J18">
        <f t="shared" si="0"/>
        <v>210</v>
      </c>
      <c r="K18" s="26"/>
      <c r="N18" s="24"/>
      <c r="O18" s="13" t="s">
        <v>47</v>
      </c>
      <c r="P18" s="11">
        <v>18</v>
      </c>
      <c r="Q18" s="13">
        <v>23</v>
      </c>
      <c r="R18" s="11">
        <v>0</v>
      </c>
      <c r="S18" s="11">
        <v>0</v>
      </c>
      <c r="T18" s="11">
        <v>169</v>
      </c>
      <c r="U18" s="11">
        <v>0</v>
      </c>
      <c r="W18" s="12" t="s">
        <v>1</v>
      </c>
      <c r="X18" s="11">
        <v>0</v>
      </c>
      <c r="Y18" s="11">
        <v>0</v>
      </c>
      <c r="Z18" s="11">
        <v>0</v>
      </c>
      <c r="AA18" s="12">
        <v>5</v>
      </c>
      <c r="AB18" s="11">
        <v>0</v>
      </c>
      <c r="AC18" s="11">
        <v>0</v>
      </c>
      <c r="AD18" s="12">
        <v>5</v>
      </c>
    </row>
    <row r="19" spans="1:30" x14ac:dyDescent="0.3">
      <c r="A19" s="24"/>
      <c r="B19" s="24"/>
      <c r="C19" s="13" t="s">
        <v>48</v>
      </c>
      <c r="D19" s="11">
        <v>2</v>
      </c>
      <c r="E19" s="13">
        <v>1</v>
      </c>
      <c r="F19" s="11">
        <v>0</v>
      </c>
      <c r="G19" s="11">
        <v>0</v>
      </c>
      <c r="H19" s="11">
        <v>0</v>
      </c>
      <c r="I19" s="11">
        <v>14</v>
      </c>
      <c r="J19">
        <f t="shared" si="0"/>
        <v>17</v>
      </c>
      <c r="K19" s="26"/>
      <c r="N19" s="24"/>
      <c r="O19" s="13" t="s">
        <v>48</v>
      </c>
      <c r="P19" s="11">
        <v>2</v>
      </c>
      <c r="Q19" s="13">
        <v>1</v>
      </c>
      <c r="R19" s="11">
        <v>0</v>
      </c>
      <c r="S19" s="11">
        <v>0</v>
      </c>
      <c r="T19" s="11">
        <v>0</v>
      </c>
      <c r="U19" s="11">
        <v>14</v>
      </c>
      <c r="W19" s="12" t="s">
        <v>47</v>
      </c>
      <c r="X19" s="11">
        <v>10</v>
      </c>
      <c r="Y19" s="11">
        <v>11</v>
      </c>
      <c r="Z19" s="11">
        <v>0</v>
      </c>
      <c r="AA19" s="11">
        <v>0</v>
      </c>
      <c r="AB19" s="11">
        <v>83</v>
      </c>
      <c r="AC19" s="11">
        <v>0</v>
      </c>
      <c r="AD19" s="11">
        <v>104</v>
      </c>
    </row>
    <row r="20" spans="1:30" x14ac:dyDescent="0.3">
      <c r="A20" s="24" t="s">
        <v>44</v>
      </c>
      <c r="B20" s="20" t="s">
        <v>93</v>
      </c>
      <c r="C20" s="13" t="s">
        <v>45</v>
      </c>
      <c r="D20" s="11">
        <v>357</v>
      </c>
      <c r="E20" s="13">
        <v>4</v>
      </c>
      <c r="F20" s="11">
        <v>3</v>
      </c>
      <c r="G20" s="11">
        <v>3</v>
      </c>
      <c r="H20" s="11">
        <v>5</v>
      </c>
      <c r="I20" s="11">
        <v>4</v>
      </c>
      <c r="J20">
        <f t="shared" si="0"/>
        <v>376</v>
      </c>
      <c r="K20" s="23">
        <f>SUM(J20:J25)</f>
        <v>6085</v>
      </c>
      <c r="W20" s="12" t="s">
        <v>48</v>
      </c>
      <c r="X20" s="11">
        <v>0</v>
      </c>
      <c r="Y20" s="11">
        <v>1</v>
      </c>
      <c r="Z20" s="11">
        <v>0</v>
      </c>
      <c r="AA20" s="11">
        <v>0</v>
      </c>
      <c r="AB20" s="11">
        <v>0</v>
      </c>
      <c r="AC20" s="12">
        <v>6</v>
      </c>
      <c r="AD20" s="12">
        <v>7</v>
      </c>
    </row>
    <row r="21" spans="1:30" x14ac:dyDescent="0.3">
      <c r="A21" s="24"/>
      <c r="B21" s="20"/>
      <c r="C21" s="13" t="s">
        <v>0</v>
      </c>
      <c r="D21" s="11">
        <v>25</v>
      </c>
      <c r="E21" s="13">
        <v>2757</v>
      </c>
      <c r="F21" s="11">
        <v>23</v>
      </c>
      <c r="G21" s="11">
        <v>22</v>
      </c>
      <c r="H21" s="11">
        <v>23</v>
      </c>
      <c r="I21" s="11">
        <v>23</v>
      </c>
      <c r="J21">
        <f t="shared" si="0"/>
        <v>2873</v>
      </c>
      <c r="K21" s="23"/>
    </row>
    <row r="22" spans="1:30" x14ac:dyDescent="0.3">
      <c r="A22" s="24"/>
      <c r="B22" s="20"/>
      <c r="C22" s="13" t="s">
        <v>46</v>
      </c>
      <c r="D22" s="11">
        <v>10</v>
      </c>
      <c r="E22" s="13">
        <v>10</v>
      </c>
      <c r="F22" s="11">
        <v>1204</v>
      </c>
      <c r="G22" s="11">
        <v>10</v>
      </c>
      <c r="H22" s="11">
        <v>10</v>
      </c>
      <c r="I22" s="11">
        <v>9</v>
      </c>
      <c r="J22">
        <f t="shared" si="0"/>
        <v>1253</v>
      </c>
      <c r="K22" s="23"/>
    </row>
    <row r="23" spans="1:30" x14ac:dyDescent="0.3">
      <c r="A23" s="24"/>
      <c r="B23" s="20"/>
      <c r="C23" s="13" t="s">
        <v>1</v>
      </c>
      <c r="D23" s="11">
        <v>1</v>
      </c>
      <c r="E23" s="13">
        <v>1</v>
      </c>
      <c r="F23" s="11">
        <v>1</v>
      </c>
      <c r="G23" s="11">
        <v>82</v>
      </c>
      <c r="H23" s="11">
        <v>0</v>
      </c>
      <c r="I23" s="11">
        <v>0</v>
      </c>
      <c r="J23">
        <f t="shared" si="0"/>
        <v>85</v>
      </c>
      <c r="K23" s="23"/>
    </row>
    <row r="24" spans="1:30" x14ac:dyDescent="0.3">
      <c r="A24" s="24"/>
      <c r="B24" s="20"/>
      <c r="C24" s="13" t="s">
        <v>47</v>
      </c>
      <c r="D24" s="11">
        <v>24</v>
      </c>
      <c r="E24" s="13">
        <v>16</v>
      </c>
      <c r="F24" s="11">
        <v>11</v>
      </c>
      <c r="G24" s="11">
        <v>11</v>
      </c>
      <c r="H24" s="11">
        <v>1323</v>
      </c>
      <c r="I24" s="11">
        <v>10</v>
      </c>
      <c r="J24">
        <f t="shared" si="0"/>
        <v>1395</v>
      </c>
      <c r="K24" s="23"/>
    </row>
    <row r="25" spans="1:30" x14ac:dyDescent="0.3">
      <c r="A25" s="24"/>
      <c r="B25" s="20"/>
      <c r="C25" s="13" t="s">
        <v>48</v>
      </c>
      <c r="D25" s="11">
        <v>6</v>
      </c>
      <c r="E25" s="13">
        <v>2</v>
      </c>
      <c r="F25" s="11">
        <v>1</v>
      </c>
      <c r="G25" s="11">
        <v>1</v>
      </c>
      <c r="H25" s="11">
        <v>0</v>
      </c>
      <c r="I25" s="11">
        <v>93</v>
      </c>
      <c r="J25">
        <f t="shared" si="0"/>
        <v>103</v>
      </c>
      <c r="K25" s="23"/>
    </row>
    <row r="26" spans="1:30" x14ac:dyDescent="0.3">
      <c r="A26" s="24"/>
      <c r="B26" s="24" t="s">
        <v>94</v>
      </c>
      <c r="C26" s="13" t="s">
        <v>45</v>
      </c>
      <c r="D26" s="11">
        <v>68</v>
      </c>
      <c r="E26" s="13">
        <v>16</v>
      </c>
      <c r="F26" s="11">
        <v>1</v>
      </c>
      <c r="G26" s="11">
        <v>0</v>
      </c>
      <c r="H26" s="11">
        <v>12</v>
      </c>
      <c r="I26" s="11">
        <v>2</v>
      </c>
      <c r="J26">
        <f t="shared" si="0"/>
        <v>99</v>
      </c>
      <c r="K26" s="23">
        <f t="shared" ref="K26" si="1">SUM(J26:J31)</f>
        <v>1684</v>
      </c>
    </row>
    <row r="27" spans="1:30" x14ac:dyDescent="0.3">
      <c r="A27" s="24"/>
      <c r="B27" s="24"/>
      <c r="C27" s="13" t="s">
        <v>0</v>
      </c>
      <c r="D27" s="11">
        <v>20</v>
      </c>
      <c r="E27" s="13">
        <v>733</v>
      </c>
      <c r="F27" s="11">
        <v>4</v>
      </c>
      <c r="G27" s="11">
        <v>4</v>
      </c>
      <c r="H27" s="11">
        <v>40</v>
      </c>
      <c r="I27" s="11">
        <v>6</v>
      </c>
      <c r="J27">
        <f t="shared" si="0"/>
        <v>807</v>
      </c>
      <c r="K27" s="23"/>
    </row>
    <row r="28" spans="1:30" x14ac:dyDescent="0.3">
      <c r="A28" s="24"/>
      <c r="B28" s="24"/>
      <c r="C28" s="13" t="s">
        <v>46</v>
      </c>
      <c r="D28" s="11">
        <v>2</v>
      </c>
      <c r="E28" s="13">
        <v>2</v>
      </c>
      <c r="F28" s="11">
        <v>323</v>
      </c>
      <c r="G28" s="11">
        <v>2</v>
      </c>
      <c r="H28" s="11">
        <v>2</v>
      </c>
      <c r="I28" s="11">
        <v>1</v>
      </c>
      <c r="J28">
        <f t="shared" si="0"/>
        <v>332</v>
      </c>
      <c r="K28" s="23"/>
    </row>
    <row r="29" spans="1:30" x14ac:dyDescent="0.3">
      <c r="A29" s="24"/>
      <c r="B29" s="24"/>
      <c r="C29" s="13" t="s">
        <v>1</v>
      </c>
      <c r="D29" s="11">
        <v>0</v>
      </c>
      <c r="E29" s="13">
        <v>0</v>
      </c>
      <c r="F29" s="11">
        <v>0</v>
      </c>
      <c r="G29" s="11">
        <v>8</v>
      </c>
      <c r="H29" s="11">
        <v>0</v>
      </c>
      <c r="I29" s="11">
        <v>0</v>
      </c>
      <c r="J29">
        <f t="shared" si="0"/>
        <v>8</v>
      </c>
      <c r="K29" s="23"/>
    </row>
    <row r="30" spans="1:30" x14ac:dyDescent="0.3">
      <c r="A30" s="24"/>
      <c r="B30" s="24"/>
      <c r="C30" s="13" t="s">
        <v>47</v>
      </c>
      <c r="D30" s="11">
        <v>25</v>
      </c>
      <c r="E30" s="13">
        <v>37</v>
      </c>
      <c r="F30" s="11">
        <v>2</v>
      </c>
      <c r="G30" s="11">
        <v>3</v>
      </c>
      <c r="H30" s="11">
        <v>342</v>
      </c>
      <c r="I30" s="11">
        <v>2</v>
      </c>
      <c r="J30">
        <f t="shared" si="0"/>
        <v>411</v>
      </c>
      <c r="K30" s="23"/>
    </row>
    <row r="31" spans="1:30" x14ac:dyDescent="0.3">
      <c r="A31" s="24"/>
      <c r="B31" s="24"/>
      <c r="C31" s="13" t="s">
        <v>48</v>
      </c>
      <c r="D31" s="11">
        <v>4</v>
      </c>
      <c r="E31" s="13">
        <v>2</v>
      </c>
      <c r="F31" s="11">
        <v>0</v>
      </c>
      <c r="G31" s="11">
        <v>0</v>
      </c>
      <c r="H31" s="11">
        <v>2</v>
      </c>
      <c r="I31" s="11">
        <v>19</v>
      </c>
      <c r="J31">
        <f t="shared" si="0"/>
        <v>27</v>
      </c>
      <c r="K31" s="23"/>
    </row>
    <row r="32" spans="1:30" x14ac:dyDescent="0.3">
      <c r="A32" s="24"/>
      <c r="B32" s="24" t="s">
        <v>95</v>
      </c>
      <c r="C32" s="13" t="s">
        <v>45</v>
      </c>
      <c r="D32" s="11">
        <v>35</v>
      </c>
      <c r="E32" s="13">
        <v>10</v>
      </c>
      <c r="F32" s="11">
        <v>0</v>
      </c>
      <c r="G32" s="11">
        <v>0</v>
      </c>
      <c r="H32" s="11">
        <v>4</v>
      </c>
      <c r="I32" s="11">
        <v>2</v>
      </c>
      <c r="J32">
        <f t="shared" si="0"/>
        <v>51</v>
      </c>
      <c r="K32" s="23">
        <f t="shared" ref="K32" si="2">SUM(J32:J37)</f>
        <v>850</v>
      </c>
    </row>
    <row r="33" spans="1:11" x14ac:dyDescent="0.3">
      <c r="A33" s="24"/>
      <c r="B33" s="24"/>
      <c r="C33" s="13" t="s">
        <v>0</v>
      </c>
      <c r="D33" s="11">
        <v>15</v>
      </c>
      <c r="E33" s="13">
        <v>360</v>
      </c>
      <c r="F33" s="11">
        <v>2</v>
      </c>
      <c r="G33" s="11">
        <v>2</v>
      </c>
      <c r="H33" s="11">
        <v>20</v>
      </c>
      <c r="I33" s="11">
        <v>6</v>
      </c>
      <c r="J33">
        <f t="shared" si="0"/>
        <v>405</v>
      </c>
      <c r="K33" s="23"/>
    </row>
    <row r="34" spans="1:11" x14ac:dyDescent="0.3">
      <c r="A34" s="24"/>
      <c r="B34" s="24"/>
      <c r="C34" s="13" t="s">
        <v>46</v>
      </c>
      <c r="D34" s="11">
        <v>1</v>
      </c>
      <c r="E34" s="13">
        <v>1</v>
      </c>
      <c r="F34" s="11">
        <v>150</v>
      </c>
      <c r="G34" s="11">
        <v>1</v>
      </c>
      <c r="H34" s="11">
        <v>1</v>
      </c>
      <c r="I34" s="11">
        <v>0</v>
      </c>
      <c r="J34">
        <f t="shared" si="0"/>
        <v>154</v>
      </c>
      <c r="K34" s="23"/>
    </row>
    <row r="35" spans="1:11" x14ac:dyDescent="0.3">
      <c r="A35" s="24"/>
      <c r="B35" s="24"/>
      <c r="C35" s="13" t="s">
        <v>1</v>
      </c>
      <c r="D35" s="11">
        <v>0</v>
      </c>
      <c r="E35" s="13">
        <v>0</v>
      </c>
      <c r="F35" s="11">
        <v>0</v>
      </c>
      <c r="G35" s="11">
        <v>11</v>
      </c>
      <c r="H35" s="11">
        <v>2</v>
      </c>
      <c r="I35" s="11">
        <v>0</v>
      </c>
      <c r="J35">
        <f t="shared" si="0"/>
        <v>13</v>
      </c>
      <c r="K35" s="23"/>
    </row>
    <row r="36" spans="1:11" x14ac:dyDescent="0.3">
      <c r="A36" s="24"/>
      <c r="B36" s="24"/>
      <c r="C36" s="13" t="s">
        <v>47</v>
      </c>
      <c r="D36" s="11">
        <v>19</v>
      </c>
      <c r="E36" s="13">
        <v>24</v>
      </c>
      <c r="F36" s="11">
        <v>1</v>
      </c>
      <c r="G36" s="11">
        <v>1</v>
      </c>
      <c r="H36" s="11">
        <v>165</v>
      </c>
      <c r="I36" s="11">
        <v>0</v>
      </c>
      <c r="J36">
        <f t="shared" si="0"/>
        <v>210</v>
      </c>
      <c r="K36" s="23"/>
    </row>
    <row r="37" spans="1:11" x14ac:dyDescent="0.3">
      <c r="A37" s="24"/>
      <c r="B37" s="24"/>
      <c r="C37" s="13" t="s">
        <v>48</v>
      </c>
      <c r="D37" s="11">
        <v>2</v>
      </c>
      <c r="E37" s="13">
        <v>1</v>
      </c>
      <c r="F37" s="11">
        <v>0</v>
      </c>
      <c r="G37" s="11">
        <v>0</v>
      </c>
      <c r="H37" s="11">
        <v>0</v>
      </c>
      <c r="I37" s="11">
        <v>14</v>
      </c>
      <c r="J37">
        <f t="shared" si="0"/>
        <v>17</v>
      </c>
      <c r="K37" s="23"/>
    </row>
    <row r="38" spans="1:11" x14ac:dyDescent="0.3">
      <c r="A38" s="24" t="s">
        <v>40</v>
      </c>
      <c r="B38" s="20" t="s">
        <v>93</v>
      </c>
      <c r="C38" s="13" t="s">
        <v>45</v>
      </c>
      <c r="D38" s="11">
        <v>353</v>
      </c>
      <c r="E38" s="13">
        <v>4</v>
      </c>
      <c r="F38" s="11">
        <v>3</v>
      </c>
      <c r="G38" s="11">
        <v>3</v>
      </c>
      <c r="H38" s="11">
        <v>8</v>
      </c>
      <c r="I38" s="11">
        <v>3</v>
      </c>
      <c r="J38">
        <f t="shared" si="0"/>
        <v>374</v>
      </c>
      <c r="K38" s="23">
        <f t="shared" ref="K38" si="3">SUM(J38:J43)</f>
        <v>6070</v>
      </c>
    </row>
    <row r="39" spans="1:11" x14ac:dyDescent="0.3">
      <c r="A39" s="24"/>
      <c r="B39" s="20"/>
      <c r="C39" s="13" t="s">
        <v>0</v>
      </c>
      <c r="D39" s="11">
        <v>26</v>
      </c>
      <c r="E39" s="13">
        <v>2755</v>
      </c>
      <c r="F39" s="11">
        <v>23</v>
      </c>
      <c r="G39" s="11">
        <v>23</v>
      </c>
      <c r="H39" s="11">
        <v>26</v>
      </c>
      <c r="I39" s="11">
        <v>23</v>
      </c>
      <c r="J39">
        <f t="shared" si="0"/>
        <v>2876</v>
      </c>
      <c r="K39" s="23"/>
    </row>
    <row r="40" spans="1:11" x14ac:dyDescent="0.3">
      <c r="A40" s="24"/>
      <c r="B40" s="20"/>
      <c r="C40" s="13" t="s">
        <v>46</v>
      </c>
      <c r="D40" s="11">
        <v>10</v>
      </c>
      <c r="E40" s="13">
        <v>10</v>
      </c>
      <c r="F40" s="11">
        <v>1205</v>
      </c>
      <c r="G40" s="11">
        <v>10</v>
      </c>
      <c r="H40" s="11">
        <v>10</v>
      </c>
      <c r="I40" s="11">
        <v>9</v>
      </c>
      <c r="J40">
        <f t="shared" si="0"/>
        <v>1254</v>
      </c>
      <c r="K40" s="23"/>
    </row>
    <row r="41" spans="1:11" x14ac:dyDescent="0.3">
      <c r="A41" s="24"/>
      <c r="B41" s="20"/>
      <c r="C41" s="13" t="s">
        <v>1</v>
      </c>
      <c r="D41" s="11">
        <v>1</v>
      </c>
      <c r="E41" s="13">
        <v>1</v>
      </c>
      <c r="F41" s="11">
        <v>1</v>
      </c>
      <c r="G41" s="11">
        <v>80</v>
      </c>
      <c r="H41" s="11">
        <v>0</v>
      </c>
      <c r="I41" s="11">
        <v>0</v>
      </c>
      <c r="J41">
        <f t="shared" si="0"/>
        <v>83</v>
      </c>
      <c r="K41" s="23"/>
    </row>
    <row r="42" spans="1:11" x14ac:dyDescent="0.3">
      <c r="A42" s="24"/>
      <c r="B42" s="20"/>
      <c r="C42" s="13" t="s">
        <v>47</v>
      </c>
      <c r="D42" s="11">
        <v>29</v>
      </c>
      <c r="E42" s="13">
        <v>18</v>
      </c>
      <c r="F42" s="11">
        <v>11</v>
      </c>
      <c r="G42" s="11">
        <v>12</v>
      </c>
      <c r="H42" s="11">
        <v>1300</v>
      </c>
      <c r="I42" s="11">
        <v>10</v>
      </c>
      <c r="J42">
        <f t="shared" si="0"/>
        <v>1380</v>
      </c>
      <c r="K42" s="23"/>
    </row>
    <row r="43" spans="1:11" x14ac:dyDescent="0.3">
      <c r="A43" s="24"/>
      <c r="B43" s="20"/>
      <c r="C43" s="13" t="s">
        <v>48</v>
      </c>
      <c r="D43" s="11">
        <v>5</v>
      </c>
      <c r="E43" s="13">
        <v>2</v>
      </c>
      <c r="F43" s="11">
        <v>1</v>
      </c>
      <c r="G43" s="11">
        <v>1</v>
      </c>
      <c r="H43" s="11">
        <v>0</v>
      </c>
      <c r="I43" s="11">
        <v>94</v>
      </c>
      <c r="J43">
        <f t="shared" si="0"/>
        <v>103</v>
      </c>
      <c r="K43" s="23"/>
    </row>
    <row r="44" spans="1:11" x14ac:dyDescent="0.3">
      <c r="A44" s="24"/>
      <c r="B44" s="24" t="s">
        <v>94</v>
      </c>
      <c r="C44" s="13" t="s">
        <v>45</v>
      </c>
      <c r="D44" s="11">
        <v>64</v>
      </c>
      <c r="E44" s="13">
        <v>16</v>
      </c>
      <c r="F44" s="11">
        <v>1</v>
      </c>
      <c r="G44" s="11">
        <v>0</v>
      </c>
      <c r="H44" s="11">
        <v>17</v>
      </c>
      <c r="I44" s="11">
        <v>3</v>
      </c>
      <c r="J44">
        <f t="shared" si="0"/>
        <v>101</v>
      </c>
      <c r="K44" s="23">
        <f t="shared" ref="K44:K104" si="4">SUM(J44:J49)</f>
        <v>1673</v>
      </c>
    </row>
    <row r="45" spans="1:11" x14ac:dyDescent="0.3">
      <c r="A45" s="24"/>
      <c r="B45" s="24"/>
      <c r="C45" s="13" t="s">
        <v>0</v>
      </c>
      <c r="D45" s="11">
        <v>17</v>
      </c>
      <c r="E45" s="13">
        <v>730</v>
      </c>
      <c r="F45" s="11">
        <v>4</v>
      </c>
      <c r="G45" s="11">
        <v>4</v>
      </c>
      <c r="H45" s="11">
        <v>43</v>
      </c>
      <c r="I45" s="11">
        <v>7</v>
      </c>
      <c r="J45">
        <f t="shared" si="0"/>
        <v>805</v>
      </c>
      <c r="K45" s="23"/>
    </row>
    <row r="46" spans="1:11" x14ac:dyDescent="0.3">
      <c r="A46" s="24"/>
      <c r="B46" s="24"/>
      <c r="C46" s="13" t="s">
        <v>46</v>
      </c>
      <c r="D46" s="11">
        <v>2</v>
      </c>
      <c r="E46" s="13">
        <v>2</v>
      </c>
      <c r="F46" s="11">
        <v>317</v>
      </c>
      <c r="G46" s="11">
        <v>2</v>
      </c>
      <c r="H46" s="11">
        <v>2</v>
      </c>
      <c r="I46" s="11">
        <v>1</v>
      </c>
      <c r="J46">
        <f t="shared" si="0"/>
        <v>326</v>
      </c>
      <c r="K46" s="23"/>
    </row>
    <row r="47" spans="1:11" x14ac:dyDescent="0.3">
      <c r="A47" s="24"/>
      <c r="B47" s="24"/>
      <c r="C47" s="13" t="s">
        <v>1</v>
      </c>
      <c r="D47" s="11">
        <v>0</v>
      </c>
      <c r="E47" s="13">
        <v>0</v>
      </c>
      <c r="F47" s="11">
        <v>0</v>
      </c>
      <c r="G47" s="11">
        <v>8</v>
      </c>
      <c r="H47" s="11">
        <v>0</v>
      </c>
      <c r="I47" s="11">
        <v>0</v>
      </c>
      <c r="J47">
        <f t="shared" si="0"/>
        <v>8</v>
      </c>
      <c r="K47" s="23"/>
    </row>
    <row r="48" spans="1:11" x14ac:dyDescent="0.3">
      <c r="A48" s="24"/>
      <c r="B48" s="24"/>
      <c r="C48" s="13" t="s">
        <v>47</v>
      </c>
      <c r="D48" s="11">
        <v>32</v>
      </c>
      <c r="E48" s="13">
        <v>37</v>
      </c>
      <c r="F48" s="11">
        <v>2</v>
      </c>
      <c r="G48" s="11">
        <v>3</v>
      </c>
      <c r="H48" s="11">
        <v>335</v>
      </c>
      <c r="I48" s="11">
        <v>3</v>
      </c>
      <c r="J48">
        <f t="shared" si="0"/>
        <v>412</v>
      </c>
      <c r="K48" s="23"/>
    </row>
    <row r="49" spans="1:11" x14ac:dyDescent="0.3">
      <c r="A49" s="24"/>
      <c r="B49" s="24"/>
      <c r="C49" s="13" t="s">
        <v>48</v>
      </c>
      <c r="D49" s="11">
        <v>4</v>
      </c>
      <c r="E49" s="13">
        <v>3</v>
      </c>
      <c r="F49" s="11">
        <v>0</v>
      </c>
      <c r="G49" s="11">
        <v>0</v>
      </c>
      <c r="H49" s="11">
        <v>1</v>
      </c>
      <c r="I49" s="11">
        <v>13</v>
      </c>
      <c r="J49">
        <f t="shared" si="0"/>
        <v>21</v>
      </c>
      <c r="K49" s="23"/>
    </row>
    <row r="50" spans="1:11" x14ac:dyDescent="0.3">
      <c r="A50" s="24"/>
      <c r="B50" s="24" t="s">
        <v>95</v>
      </c>
      <c r="C50" s="13" t="s">
        <v>45</v>
      </c>
      <c r="D50" s="11">
        <v>33</v>
      </c>
      <c r="E50" s="13">
        <v>11</v>
      </c>
      <c r="F50" s="11">
        <v>0</v>
      </c>
      <c r="G50" s="11">
        <v>0</v>
      </c>
      <c r="H50" s="11">
        <v>6</v>
      </c>
      <c r="I50" s="11">
        <v>3</v>
      </c>
      <c r="J50">
        <f t="shared" si="0"/>
        <v>53</v>
      </c>
      <c r="K50" s="23">
        <f t="shared" si="4"/>
        <v>854</v>
      </c>
    </row>
    <row r="51" spans="1:11" x14ac:dyDescent="0.3">
      <c r="A51" s="24"/>
      <c r="B51" s="24"/>
      <c r="C51" s="13" t="s">
        <v>0</v>
      </c>
      <c r="D51" s="11">
        <v>17</v>
      </c>
      <c r="E51" s="13">
        <v>357</v>
      </c>
      <c r="F51" s="11">
        <v>2</v>
      </c>
      <c r="G51" s="11">
        <v>2</v>
      </c>
      <c r="H51" s="11">
        <v>26</v>
      </c>
      <c r="I51" s="11">
        <v>5</v>
      </c>
      <c r="J51">
        <f t="shared" si="0"/>
        <v>409</v>
      </c>
      <c r="K51" s="23"/>
    </row>
    <row r="52" spans="1:11" x14ac:dyDescent="0.3">
      <c r="A52" s="24"/>
      <c r="B52" s="24"/>
      <c r="C52" s="13" t="s">
        <v>46</v>
      </c>
      <c r="D52" s="11">
        <v>1</v>
      </c>
      <c r="E52" s="13">
        <v>1</v>
      </c>
      <c r="F52" s="11">
        <v>146</v>
      </c>
      <c r="G52" s="11">
        <v>1</v>
      </c>
      <c r="H52" s="11">
        <v>1</v>
      </c>
      <c r="I52" s="11">
        <v>0</v>
      </c>
      <c r="J52">
        <f t="shared" si="0"/>
        <v>150</v>
      </c>
      <c r="K52" s="23"/>
    </row>
    <row r="53" spans="1:11" x14ac:dyDescent="0.3">
      <c r="A53" s="24"/>
      <c r="B53" s="24"/>
      <c r="C53" s="13" t="s">
        <v>1</v>
      </c>
      <c r="D53" s="11">
        <v>0</v>
      </c>
      <c r="E53" s="13">
        <v>0</v>
      </c>
      <c r="F53" s="11">
        <v>0</v>
      </c>
      <c r="G53" s="11">
        <v>10</v>
      </c>
      <c r="H53" s="11">
        <v>2</v>
      </c>
      <c r="I53" s="11">
        <v>0</v>
      </c>
      <c r="J53">
        <f t="shared" si="0"/>
        <v>12</v>
      </c>
      <c r="K53" s="23"/>
    </row>
    <row r="54" spans="1:11" x14ac:dyDescent="0.3">
      <c r="A54" s="24"/>
      <c r="B54" s="24"/>
      <c r="C54" s="13" t="s">
        <v>47</v>
      </c>
      <c r="D54" s="11">
        <v>21</v>
      </c>
      <c r="E54" s="13">
        <v>26</v>
      </c>
      <c r="F54" s="11">
        <v>1</v>
      </c>
      <c r="G54" s="11">
        <v>1</v>
      </c>
      <c r="H54" s="11">
        <v>160</v>
      </c>
      <c r="I54" s="11">
        <v>1</v>
      </c>
      <c r="J54">
        <f t="shared" si="0"/>
        <v>210</v>
      </c>
      <c r="K54" s="23"/>
    </row>
    <row r="55" spans="1:11" x14ac:dyDescent="0.3">
      <c r="A55" s="24"/>
      <c r="B55" s="24"/>
      <c r="C55" s="13" t="s">
        <v>48</v>
      </c>
      <c r="D55" s="11">
        <v>4</v>
      </c>
      <c r="E55" s="13">
        <v>2</v>
      </c>
      <c r="F55" s="11">
        <v>0</v>
      </c>
      <c r="G55" s="11">
        <v>0</v>
      </c>
      <c r="H55" s="11">
        <v>1</v>
      </c>
      <c r="I55" s="11">
        <v>13</v>
      </c>
      <c r="J55">
        <f t="shared" si="0"/>
        <v>20</v>
      </c>
      <c r="K55" s="23"/>
    </row>
    <row r="56" spans="1:11" x14ac:dyDescent="0.3">
      <c r="A56" s="24" t="s">
        <v>41</v>
      </c>
      <c r="B56" s="20" t="s">
        <v>93</v>
      </c>
      <c r="C56" s="13" t="s">
        <v>45</v>
      </c>
      <c r="D56" s="11">
        <v>334</v>
      </c>
      <c r="E56" s="13">
        <v>5</v>
      </c>
      <c r="F56" s="11">
        <v>3</v>
      </c>
      <c r="G56" s="11">
        <v>3</v>
      </c>
      <c r="H56" s="11">
        <v>10</v>
      </c>
      <c r="I56" s="11">
        <v>4</v>
      </c>
      <c r="J56">
        <f t="shared" si="0"/>
        <v>359</v>
      </c>
      <c r="K56" s="23">
        <f t="shared" si="4"/>
        <v>6005</v>
      </c>
    </row>
    <row r="57" spans="1:11" x14ac:dyDescent="0.3">
      <c r="A57" s="24"/>
      <c r="B57" s="20"/>
      <c r="C57" s="13" t="s">
        <v>0</v>
      </c>
      <c r="D57" s="11">
        <v>27</v>
      </c>
      <c r="E57" s="13">
        <v>2740</v>
      </c>
      <c r="F57" s="11">
        <v>23</v>
      </c>
      <c r="G57" s="11">
        <v>22</v>
      </c>
      <c r="H57" s="11">
        <v>27</v>
      </c>
      <c r="I57" s="11">
        <v>24</v>
      </c>
      <c r="J57">
        <f t="shared" si="0"/>
        <v>2863</v>
      </c>
      <c r="K57" s="23"/>
    </row>
    <row r="58" spans="1:11" x14ac:dyDescent="0.3">
      <c r="A58" s="24"/>
      <c r="B58" s="20"/>
      <c r="C58" s="13" t="s">
        <v>46</v>
      </c>
      <c r="D58" s="11">
        <v>10</v>
      </c>
      <c r="E58" s="13">
        <v>10</v>
      </c>
      <c r="F58" s="11">
        <v>1163</v>
      </c>
      <c r="G58" s="11">
        <v>10</v>
      </c>
      <c r="H58" s="11">
        <v>9</v>
      </c>
      <c r="I58" s="11">
        <v>9</v>
      </c>
      <c r="J58">
        <f t="shared" si="0"/>
        <v>1211</v>
      </c>
      <c r="K58" s="23"/>
    </row>
    <row r="59" spans="1:11" x14ac:dyDescent="0.3">
      <c r="A59" s="24"/>
      <c r="B59" s="20"/>
      <c r="C59" s="13" t="s">
        <v>1</v>
      </c>
      <c r="D59" s="11">
        <v>1</v>
      </c>
      <c r="E59" s="13">
        <v>1</v>
      </c>
      <c r="F59" s="11">
        <v>1</v>
      </c>
      <c r="G59" s="11">
        <v>80</v>
      </c>
      <c r="H59" s="11">
        <v>0</v>
      </c>
      <c r="I59" s="11">
        <v>0</v>
      </c>
      <c r="J59">
        <f t="shared" si="0"/>
        <v>83</v>
      </c>
      <c r="K59" s="23"/>
    </row>
    <row r="60" spans="1:11" x14ac:dyDescent="0.3">
      <c r="A60" s="24"/>
      <c r="B60" s="20"/>
      <c r="C60" s="13" t="s">
        <v>47</v>
      </c>
      <c r="D60" s="11">
        <v>39</v>
      </c>
      <c r="E60" s="13">
        <v>18</v>
      </c>
      <c r="F60" s="11">
        <v>11</v>
      </c>
      <c r="G60" s="11">
        <v>12</v>
      </c>
      <c r="H60" s="11">
        <v>1295</v>
      </c>
      <c r="I60" s="11">
        <v>11</v>
      </c>
      <c r="J60">
        <f t="shared" si="0"/>
        <v>1386</v>
      </c>
      <c r="K60" s="23"/>
    </row>
    <row r="61" spans="1:11" x14ac:dyDescent="0.3">
      <c r="A61" s="24"/>
      <c r="B61" s="20"/>
      <c r="C61" s="13" t="s">
        <v>48</v>
      </c>
      <c r="D61" s="11">
        <v>8</v>
      </c>
      <c r="E61" s="13">
        <v>4</v>
      </c>
      <c r="F61" s="11">
        <v>1</v>
      </c>
      <c r="G61" s="11">
        <v>1</v>
      </c>
      <c r="H61" s="11">
        <v>0</v>
      </c>
      <c r="I61" s="11">
        <v>89</v>
      </c>
      <c r="J61">
        <f t="shared" si="0"/>
        <v>103</v>
      </c>
      <c r="K61" s="23"/>
    </row>
    <row r="62" spans="1:11" x14ac:dyDescent="0.3">
      <c r="A62" s="24"/>
      <c r="B62" s="24" t="s">
        <v>94</v>
      </c>
      <c r="C62" s="13" t="s">
        <v>45</v>
      </c>
      <c r="D62" s="11">
        <v>60</v>
      </c>
      <c r="E62" s="13">
        <v>17</v>
      </c>
      <c r="F62" s="11">
        <v>1</v>
      </c>
      <c r="G62" s="11">
        <v>0</v>
      </c>
      <c r="H62" s="11">
        <v>19</v>
      </c>
      <c r="I62" s="11">
        <v>3</v>
      </c>
      <c r="J62">
        <f t="shared" si="0"/>
        <v>100</v>
      </c>
      <c r="K62" s="23">
        <f t="shared" si="4"/>
        <v>1678</v>
      </c>
    </row>
    <row r="63" spans="1:11" x14ac:dyDescent="0.3">
      <c r="A63" s="24"/>
      <c r="B63" s="24"/>
      <c r="C63" s="13" t="s">
        <v>0</v>
      </c>
      <c r="D63" s="11">
        <v>20</v>
      </c>
      <c r="E63" s="13">
        <v>727</v>
      </c>
      <c r="F63" s="11">
        <v>4</v>
      </c>
      <c r="G63" s="11">
        <v>4</v>
      </c>
      <c r="H63" s="11">
        <v>47</v>
      </c>
      <c r="I63" s="11">
        <v>8</v>
      </c>
      <c r="J63">
        <f t="shared" si="0"/>
        <v>810</v>
      </c>
      <c r="K63" s="23"/>
    </row>
    <row r="64" spans="1:11" x14ac:dyDescent="0.3">
      <c r="A64" s="24"/>
      <c r="B64" s="24"/>
      <c r="C64" s="13" t="s">
        <v>46</v>
      </c>
      <c r="D64" s="11">
        <v>2</v>
      </c>
      <c r="E64" s="13">
        <v>2</v>
      </c>
      <c r="F64" s="11">
        <v>311</v>
      </c>
      <c r="G64" s="11">
        <v>2</v>
      </c>
      <c r="H64" s="11">
        <v>2</v>
      </c>
      <c r="I64" s="11">
        <v>1</v>
      </c>
      <c r="J64">
        <f t="shared" si="0"/>
        <v>320</v>
      </c>
      <c r="K64" s="23"/>
    </row>
    <row r="65" spans="1:11" x14ac:dyDescent="0.3">
      <c r="A65" s="24"/>
      <c r="B65" s="24"/>
      <c r="C65" s="13" t="s">
        <v>1</v>
      </c>
      <c r="D65" s="11">
        <v>0</v>
      </c>
      <c r="E65" s="13">
        <v>0</v>
      </c>
      <c r="F65" s="11">
        <v>0</v>
      </c>
      <c r="G65" s="11">
        <v>8</v>
      </c>
      <c r="H65" s="11">
        <v>0</v>
      </c>
      <c r="I65" s="11">
        <v>0</v>
      </c>
      <c r="J65">
        <f t="shared" si="0"/>
        <v>8</v>
      </c>
      <c r="K65" s="23"/>
    </row>
    <row r="66" spans="1:11" x14ac:dyDescent="0.3">
      <c r="A66" s="24"/>
      <c r="B66" s="24"/>
      <c r="C66" s="13" t="s">
        <v>47</v>
      </c>
      <c r="D66" s="11">
        <v>35</v>
      </c>
      <c r="E66" s="13">
        <v>40</v>
      </c>
      <c r="F66" s="11">
        <v>2</v>
      </c>
      <c r="G66" s="11">
        <v>3</v>
      </c>
      <c r="H66" s="11">
        <v>335</v>
      </c>
      <c r="I66" s="11">
        <v>3</v>
      </c>
      <c r="J66">
        <f t="shared" si="0"/>
        <v>418</v>
      </c>
      <c r="K66" s="23"/>
    </row>
    <row r="67" spans="1:11" x14ac:dyDescent="0.3">
      <c r="A67" s="24"/>
      <c r="B67" s="24"/>
      <c r="C67" s="13" t="s">
        <v>48</v>
      </c>
      <c r="D67" s="11">
        <v>5</v>
      </c>
      <c r="E67" s="13">
        <v>4</v>
      </c>
      <c r="F67" s="11">
        <v>0</v>
      </c>
      <c r="G67" s="11">
        <v>0</v>
      </c>
      <c r="H67" s="11">
        <v>1</v>
      </c>
      <c r="I67" s="11">
        <v>12</v>
      </c>
      <c r="J67">
        <f t="shared" ref="J67:J109" si="5">SUM(D67:I67)</f>
        <v>22</v>
      </c>
      <c r="K67" s="23"/>
    </row>
    <row r="68" spans="1:11" x14ac:dyDescent="0.3">
      <c r="A68" s="24"/>
      <c r="B68" s="24" t="s">
        <v>95</v>
      </c>
      <c r="C68" s="13" t="s">
        <v>45</v>
      </c>
      <c r="D68" s="11">
        <v>30</v>
      </c>
      <c r="E68" s="13">
        <v>12</v>
      </c>
      <c r="F68" s="11">
        <v>0</v>
      </c>
      <c r="G68" s="11">
        <v>0</v>
      </c>
      <c r="H68" s="11">
        <v>7</v>
      </c>
      <c r="I68" s="11">
        <v>4</v>
      </c>
      <c r="J68">
        <f t="shared" si="5"/>
        <v>53</v>
      </c>
      <c r="K68" s="23">
        <f t="shared" si="4"/>
        <v>854</v>
      </c>
    </row>
    <row r="69" spans="1:11" x14ac:dyDescent="0.3">
      <c r="A69" s="24"/>
      <c r="B69" s="24"/>
      <c r="C69" s="13" t="s">
        <v>0</v>
      </c>
      <c r="D69" s="11">
        <v>18</v>
      </c>
      <c r="E69" s="13">
        <v>353</v>
      </c>
      <c r="F69" s="11">
        <v>2</v>
      </c>
      <c r="G69" s="11">
        <v>2</v>
      </c>
      <c r="H69" s="11">
        <v>30</v>
      </c>
      <c r="I69" s="11">
        <v>6</v>
      </c>
      <c r="J69">
        <f t="shared" si="5"/>
        <v>411</v>
      </c>
      <c r="K69" s="23"/>
    </row>
    <row r="70" spans="1:11" x14ac:dyDescent="0.3">
      <c r="A70" s="24"/>
      <c r="B70" s="24"/>
      <c r="C70" s="13" t="s">
        <v>46</v>
      </c>
      <c r="D70" s="11">
        <v>1</v>
      </c>
      <c r="E70" s="13">
        <v>1</v>
      </c>
      <c r="F70" s="11">
        <v>141</v>
      </c>
      <c r="G70" s="11">
        <v>1</v>
      </c>
      <c r="H70" s="11">
        <v>1</v>
      </c>
      <c r="I70" s="11">
        <v>0</v>
      </c>
      <c r="J70">
        <f t="shared" si="5"/>
        <v>145</v>
      </c>
      <c r="K70" s="23"/>
    </row>
    <row r="71" spans="1:11" x14ac:dyDescent="0.3">
      <c r="A71" s="24"/>
      <c r="B71" s="24"/>
      <c r="C71" s="13" t="s">
        <v>1</v>
      </c>
      <c r="D71" s="11">
        <v>0</v>
      </c>
      <c r="E71" s="13">
        <v>0</v>
      </c>
      <c r="F71" s="11">
        <v>0</v>
      </c>
      <c r="G71" s="11">
        <v>10</v>
      </c>
      <c r="H71" s="11">
        <v>1</v>
      </c>
      <c r="I71" s="11">
        <v>0</v>
      </c>
      <c r="J71">
        <f t="shared" si="5"/>
        <v>11</v>
      </c>
      <c r="K71" s="23"/>
    </row>
    <row r="72" spans="1:11" x14ac:dyDescent="0.3">
      <c r="A72" s="24"/>
      <c r="B72" s="24"/>
      <c r="C72" s="13" t="s">
        <v>47</v>
      </c>
      <c r="D72" s="11">
        <v>23</v>
      </c>
      <c r="E72" s="13">
        <v>27</v>
      </c>
      <c r="F72" s="11">
        <v>1</v>
      </c>
      <c r="G72" s="11">
        <v>3</v>
      </c>
      <c r="H72" s="11">
        <v>156</v>
      </c>
      <c r="I72" s="11">
        <v>1</v>
      </c>
      <c r="J72">
        <f t="shared" si="5"/>
        <v>211</v>
      </c>
      <c r="K72" s="23"/>
    </row>
    <row r="73" spans="1:11" x14ac:dyDescent="0.3">
      <c r="A73" s="24"/>
      <c r="B73" s="24"/>
      <c r="C73" s="13" t="s">
        <v>48</v>
      </c>
      <c r="D73" s="11">
        <v>4</v>
      </c>
      <c r="E73" s="13">
        <v>3</v>
      </c>
      <c r="F73" s="11">
        <v>1</v>
      </c>
      <c r="G73" s="11">
        <v>1</v>
      </c>
      <c r="H73" s="11">
        <v>2</v>
      </c>
      <c r="I73" s="11">
        <v>12</v>
      </c>
      <c r="J73">
        <f t="shared" si="5"/>
        <v>23</v>
      </c>
      <c r="K73" s="23"/>
    </row>
    <row r="74" spans="1:11" x14ac:dyDescent="0.3">
      <c r="A74" s="24" t="s">
        <v>42</v>
      </c>
      <c r="B74" s="20" t="s">
        <v>93</v>
      </c>
      <c r="C74" s="13" t="s">
        <v>45</v>
      </c>
      <c r="D74" s="11">
        <v>344</v>
      </c>
      <c r="E74" s="13">
        <v>4</v>
      </c>
      <c r="F74" s="11">
        <v>3</v>
      </c>
      <c r="G74" s="11">
        <v>3</v>
      </c>
      <c r="H74" s="11">
        <v>9</v>
      </c>
      <c r="I74" s="11">
        <v>2</v>
      </c>
      <c r="J74">
        <f t="shared" si="5"/>
        <v>365</v>
      </c>
      <c r="K74" s="23">
        <f t="shared" si="4"/>
        <v>6063</v>
      </c>
    </row>
    <row r="75" spans="1:11" x14ac:dyDescent="0.3">
      <c r="A75" s="24"/>
      <c r="B75" s="20"/>
      <c r="C75" s="13" t="s">
        <v>0</v>
      </c>
      <c r="D75" s="11">
        <v>26</v>
      </c>
      <c r="E75" s="13">
        <v>2752</v>
      </c>
      <c r="F75" s="11">
        <v>23</v>
      </c>
      <c r="G75" s="11">
        <v>23</v>
      </c>
      <c r="H75" s="11">
        <v>28</v>
      </c>
      <c r="I75" s="11">
        <v>24</v>
      </c>
      <c r="J75">
        <f t="shared" si="5"/>
        <v>2876</v>
      </c>
      <c r="K75" s="23"/>
    </row>
    <row r="76" spans="1:11" x14ac:dyDescent="0.3">
      <c r="A76" s="24"/>
      <c r="B76" s="20"/>
      <c r="C76" s="13" t="s">
        <v>46</v>
      </c>
      <c r="D76" s="11">
        <v>10</v>
      </c>
      <c r="E76" s="13">
        <v>10</v>
      </c>
      <c r="F76" s="11">
        <v>1198</v>
      </c>
      <c r="G76" s="11">
        <v>10</v>
      </c>
      <c r="H76" s="11">
        <v>10</v>
      </c>
      <c r="I76" s="11">
        <v>9</v>
      </c>
      <c r="J76">
        <f t="shared" si="5"/>
        <v>1247</v>
      </c>
      <c r="K76" s="23"/>
    </row>
    <row r="77" spans="1:11" x14ac:dyDescent="0.3">
      <c r="A77" s="24"/>
      <c r="B77" s="20"/>
      <c r="C77" s="13" t="s">
        <v>1</v>
      </c>
      <c r="D77" s="11">
        <v>1</v>
      </c>
      <c r="E77" s="13">
        <v>1</v>
      </c>
      <c r="F77" s="11">
        <v>1</v>
      </c>
      <c r="G77" s="11">
        <v>82</v>
      </c>
      <c r="H77" s="11">
        <v>0</v>
      </c>
      <c r="I77" s="11">
        <v>0</v>
      </c>
      <c r="J77">
        <f t="shared" si="5"/>
        <v>85</v>
      </c>
      <c r="K77" s="23"/>
    </row>
    <row r="78" spans="1:11" x14ac:dyDescent="0.3">
      <c r="A78" s="24"/>
      <c r="B78" s="20"/>
      <c r="C78" s="13" t="s">
        <v>47</v>
      </c>
      <c r="D78" s="11">
        <v>38</v>
      </c>
      <c r="E78" s="13">
        <v>17</v>
      </c>
      <c r="F78" s="11">
        <v>11</v>
      </c>
      <c r="G78" s="11">
        <v>10</v>
      </c>
      <c r="H78" s="11">
        <v>1300</v>
      </c>
      <c r="I78" s="11">
        <v>11</v>
      </c>
      <c r="J78">
        <f t="shared" si="5"/>
        <v>1387</v>
      </c>
      <c r="K78" s="23"/>
    </row>
    <row r="79" spans="1:11" x14ac:dyDescent="0.3">
      <c r="A79" s="24"/>
      <c r="B79" s="20"/>
      <c r="C79" s="13" t="s">
        <v>48</v>
      </c>
      <c r="D79" s="11">
        <v>9</v>
      </c>
      <c r="E79" s="13">
        <v>2</v>
      </c>
      <c r="F79" s="11">
        <v>1</v>
      </c>
      <c r="G79" s="11">
        <v>1</v>
      </c>
      <c r="H79" s="11">
        <v>0</v>
      </c>
      <c r="I79" s="11">
        <v>90</v>
      </c>
      <c r="J79">
        <f t="shared" si="5"/>
        <v>103</v>
      </c>
      <c r="K79" s="23"/>
    </row>
    <row r="80" spans="1:11" x14ac:dyDescent="0.3">
      <c r="A80" s="24"/>
      <c r="B80" s="24" t="s">
        <v>94</v>
      </c>
      <c r="C80" s="13" t="s">
        <v>45</v>
      </c>
      <c r="D80" s="11">
        <v>57</v>
      </c>
      <c r="E80" s="13">
        <v>19</v>
      </c>
      <c r="F80" s="11">
        <v>1</v>
      </c>
      <c r="G80" s="11">
        <v>0</v>
      </c>
      <c r="H80" s="11">
        <v>20</v>
      </c>
      <c r="I80" s="11">
        <v>4</v>
      </c>
      <c r="J80">
        <f t="shared" si="5"/>
        <v>101</v>
      </c>
      <c r="K80" s="23">
        <f t="shared" si="4"/>
        <v>1674</v>
      </c>
    </row>
    <row r="81" spans="1:11" x14ac:dyDescent="0.3">
      <c r="A81" s="24"/>
      <c r="B81" s="24"/>
      <c r="C81" s="13" t="s">
        <v>0</v>
      </c>
      <c r="D81" s="11">
        <v>21</v>
      </c>
      <c r="E81" s="13">
        <v>723</v>
      </c>
      <c r="F81" s="11">
        <v>4</v>
      </c>
      <c r="G81" s="11">
        <v>4</v>
      </c>
      <c r="H81" s="11">
        <v>50</v>
      </c>
      <c r="I81" s="11">
        <v>8</v>
      </c>
      <c r="J81">
        <f t="shared" si="5"/>
        <v>810</v>
      </c>
      <c r="K81" s="23"/>
    </row>
    <row r="82" spans="1:11" x14ac:dyDescent="0.3">
      <c r="A82" s="24"/>
      <c r="B82" s="24"/>
      <c r="C82" s="13" t="s">
        <v>46</v>
      </c>
      <c r="D82" s="11">
        <v>2</v>
      </c>
      <c r="E82" s="13">
        <v>2</v>
      </c>
      <c r="F82" s="11">
        <v>309</v>
      </c>
      <c r="G82" s="11">
        <v>2</v>
      </c>
      <c r="H82" s="11">
        <v>2</v>
      </c>
      <c r="I82" s="11">
        <v>1</v>
      </c>
      <c r="J82">
        <f t="shared" si="5"/>
        <v>318</v>
      </c>
      <c r="K82" s="23"/>
    </row>
    <row r="83" spans="1:11" x14ac:dyDescent="0.3">
      <c r="A83" s="24"/>
      <c r="B83" s="24"/>
      <c r="C83" s="13" t="s">
        <v>1</v>
      </c>
      <c r="D83" s="11">
        <v>0</v>
      </c>
      <c r="E83" s="13">
        <v>0</v>
      </c>
      <c r="F83" s="11">
        <v>0</v>
      </c>
      <c r="G83" s="11">
        <v>7</v>
      </c>
      <c r="H83" s="11">
        <v>0</v>
      </c>
      <c r="I83" s="11">
        <v>0</v>
      </c>
      <c r="J83">
        <f t="shared" si="5"/>
        <v>7</v>
      </c>
      <c r="K83" s="23"/>
    </row>
    <row r="84" spans="1:11" x14ac:dyDescent="0.3">
      <c r="A84" s="24"/>
      <c r="B84" s="24"/>
      <c r="C84" s="13" t="s">
        <v>47</v>
      </c>
      <c r="D84" s="11">
        <v>38</v>
      </c>
      <c r="E84" s="13">
        <v>39</v>
      </c>
      <c r="F84" s="11">
        <v>2</v>
      </c>
      <c r="G84" s="11">
        <v>4</v>
      </c>
      <c r="H84" s="11">
        <v>328</v>
      </c>
      <c r="I84" s="11">
        <v>4</v>
      </c>
      <c r="J84">
        <f t="shared" si="5"/>
        <v>415</v>
      </c>
      <c r="K84" s="23"/>
    </row>
    <row r="85" spans="1:11" x14ac:dyDescent="0.3">
      <c r="A85" s="24"/>
      <c r="B85" s="24"/>
      <c r="C85" s="13" t="s">
        <v>48</v>
      </c>
      <c r="D85" s="11">
        <v>6</v>
      </c>
      <c r="E85" s="13">
        <v>4</v>
      </c>
      <c r="F85" s="11">
        <v>0</v>
      </c>
      <c r="G85" s="11">
        <v>0</v>
      </c>
      <c r="H85" s="11">
        <v>2</v>
      </c>
      <c r="I85" s="11">
        <v>11</v>
      </c>
      <c r="J85">
        <f t="shared" si="5"/>
        <v>23</v>
      </c>
      <c r="K85" s="23"/>
    </row>
    <row r="86" spans="1:11" x14ac:dyDescent="0.3">
      <c r="A86" s="24"/>
      <c r="B86" s="24" t="s">
        <v>95</v>
      </c>
      <c r="C86" s="13" t="s">
        <v>45</v>
      </c>
      <c r="D86" s="11">
        <v>28</v>
      </c>
      <c r="E86" s="13">
        <v>13</v>
      </c>
      <c r="F86" s="11">
        <v>0</v>
      </c>
      <c r="G86" s="11">
        <v>0</v>
      </c>
      <c r="H86" s="11">
        <v>8</v>
      </c>
      <c r="I86" s="11">
        <v>4</v>
      </c>
      <c r="J86">
        <f t="shared" si="5"/>
        <v>53</v>
      </c>
      <c r="K86" s="23">
        <f t="shared" si="4"/>
        <v>846</v>
      </c>
    </row>
    <row r="87" spans="1:11" x14ac:dyDescent="0.3">
      <c r="A87" s="24"/>
      <c r="B87" s="24"/>
      <c r="C87" s="13" t="s">
        <v>0</v>
      </c>
      <c r="D87" s="11">
        <v>19</v>
      </c>
      <c r="E87" s="13">
        <v>349</v>
      </c>
      <c r="F87" s="11">
        <v>2</v>
      </c>
      <c r="G87" s="11">
        <v>2</v>
      </c>
      <c r="H87" s="11">
        <v>32</v>
      </c>
      <c r="I87" s="11">
        <v>7</v>
      </c>
      <c r="J87">
        <f t="shared" si="5"/>
        <v>411</v>
      </c>
      <c r="K87" s="23"/>
    </row>
    <row r="88" spans="1:11" x14ac:dyDescent="0.3">
      <c r="A88" s="24"/>
      <c r="B88" s="24"/>
      <c r="C88" s="13" t="s">
        <v>46</v>
      </c>
      <c r="D88" s="11">
        <v>1</v>
      </c>
      <c r="E88" s="13">
        <v>1</v>
      </c>
      <c r="F88" s="11">
        <v>138</v>
      </c>
      <c r="G88" s="11">
        <v>1</v>
      </c>
      <c r="H88" s="11">
        <v>1</v>
      </c>
      <c r="I88" s="11">
        <v>0</v>
      </c>
      <c r="J88">
        <f t="shared" si="5"/>
        <v>142</v>
      </c>
      <c r="K88" s="23"/>
    </row>
    <row r="89" spans="1:11" x14ac:dyDescent="0.3">
      <c r="A89" s="24"/>
      <c r="B89" s="24"/>
      <c r="C89" s="13" t="s">
        <v>1</v>
      </c>
      <c r="D89" s="11">
        <v>0</v>
      </c>
      <c r="E89" s="13">
        <v>0</v>
      </c>
      <c r="F89" s="11">
        <v>0</v>
      </c>
      <c r="G89" s="11">
        <v>9</v>
      </c>
      <c r="H89" s="11">
        <v>1</v>
      </c>
      <c r="I89" s="11">
        <v>0</v>
      </c>
      <c r="J89">
        <f t="shared" si="5"/>
        <v>10</v>
      </c>
      <c r="K89" s="23"/>
    </row>
    <row r="90" spans="1:11" x14ac:dyDescent="0.3">
      <c r="A90" s="24"/>
      <c r="B90" s="24"/>
      <c r="C90" s="13" t="s">
        <v>47</v>
      </c>
      <c r="D90" s="11">
        <v>25</v>
      </c>
      <c r="E90" s="13">
        <v>28</v>
      </c>
      <c r="F90" s="11">
        <v>1</v>
      </c>
      <c r="G90" s="11">
        <v>1</v>
      </c>
      <c r="H90" s="11">
        <v>152</v>
      </c>
      <c r="I90" s="11">
        <v>2</v>
      </c>
      <c r="J90">
        <f t="shared" si="5"/>
        <v>209</v>
      </c>
      <c r="K90" s="23"/>
    </row>
    <row r="91" spans="1:11" x14ac:dyDescent="0.3">
      <c r="A91" s="24"/>
      <c r="B91" s="24"/>
      <c r="C91" s="13" t="s">
        <v>48</v>
      </c>
      <c r="D91" s="11">
        <v>5</v>
      </c>
      <c r="E91" s="13">
        <v>3</v>
      </c>
      <c r="F91" s="11">
        <v>0</v>
      </c>
      <c r="G91" s="11">
        <v>0</v>
      </c>
      <c r="H91" s="11">
        <v>2</v>
      </c>
      <c r="I91" s="11">
        <v>11</v>
      </c>
      <c r="J91">
        <f t="shared" si="5"/>
        <v>21</v>
      </c>
      <c r="K91" s="23"/>
    </row>
    <row r="92" spans="1:11" x14ac:dyDescent="0.3">
      <c r="A92" s="24" t="s">
        <v>43</v>
      </c>
      <c r="B92" s="20" t="s">
        <v>93</v>
      </c>
      <c r="C92" s="13" t="s">
        <v>45</v>
      </c>
      <c r="D92" s="11">
        <v>328</v>
      </c>
      <c r="E92" s="13">
        <v>5</v>
      </c>
      <c r="F92" s="11">
        <v>3</v>
      </c>
      <c r="G92" s="11">
        <v>3</v>
      </c>
      <c r="H92" s="11">
        <v>13</v>
      </c>
      <c r="I92" s="11">
        <v>4</v>
      </c>
      <c r="J92">
        <f t="shared" si="5"/>
        <v>356</v>
      </c>
      <c r="K92" s="23">
        <f t="shared" si="4"/>
        <v>6057</v>
      </c>
    </row>
    <row r="93" spans="1:11" x14ac:dyDescent="0.3">
      <c r="A93" s="24"/>
      <c r="B93" s="20"/>
      <c r="C93" s="13" t="s">
        <v>0</v>
      </c>
      <c r="D93" s="11">
        <v>28</v>
      </c>
      <c r="E93" s="13">
        <v>2742</v>
      </c>
      <c r="F93" s="11">
        <v>23</v>
      </c>
      <c r="G93" s="11">
        <v>23</v>
      </c>
      <c r="H93" s="11">
        <v>29</v>
      </c>
      <c r="I93" s="11">
        <v>25</v>
      </c>
      <c r="J93">
        <f t="shared" si="5"/>
        <v>2870</v>
      </c>
      <c r="K93" s="23"/>
    </row>
    <row r="94" spans="1:11" x14ac:dyDescent="0.3">
      <c r="A94" s="24"/>
      <c r="B94" s="20"/>
      <c r="C94" s="13" t="s">
        <v>46</v>
      </c>
      <c r="D94" s="11">
        <v>10</v>
      </c>
      <c r="E94" s="13">
        <v>10</v>
      </c>
      <c r="F94" s="11">
        <v>1177</v>
      </c>
      <c r="G94" s="11">
        <v>10</v>
      </c>
      <c r="H94" s="11">
        <v>9</v>
      </c>
      <c r="I94" s="11">
        <v>9</v>
      </c>
      <c r="J94">
        <f t="shared" si="5"/>
        <v>1225</v>
      </c>
      <c r="K94" s="23"/>
    </row>
    <row r="95" spans="1:11" x14ac:dyDescent="0.3">
      <c r="A95" s="24"/>
      <c r="B95" s="20"/>
      <c r="C95" s="13" t="s">
        <v>1</v>
      </c>
      <c r="D95" s="11">
        <v>1</v>
      </c>
      <c r="E95" s="13">
        <v>1</v>
      </c>
      <c r="F95" s="11">
        <v>1</v>
      </c>
      <c r="G95" s="11">
        <v>82</v>
      </c>
      <c r="H95" s="11">
        <v>0</v>
      </c>
      <c r="I95" s="11">
        <v>0</v>
      </c>
      <c r="J95">
        <f t="shared" si="5"/>
        <v>85</v>
      </c>
      <c r="K95" s="23"/>
    </row>
    <row r="96" spans="1:11" x14ac:dyDescent="0.3">
      <c r="A96" s="24"/>
      <c r="B96" s="20"/>
      <c r="C96" s="13" t="s">
        <v>47</v>
      </c>
      <c r="D96" s="11">
        <v>43</v>
      </c>
      <c r="E96" s="13">
        <v>19</v>
      </c>
      <c r="F96" s="11">
        <v>11</v>
      </c>
      <c r="G96" s="11">
        <v>11</v>
      </c>
      <c r="H96" s="11">
        <v>1321</v>
      </c>
      <c r="I96" s="11">
        <v>13</v>
      </c>
      <c r="J96">
        <f t="shared" si="5"/>
        <v>1418</v>
      </c>
      <c r="K96" s="23"/>
    </row>
    <row r="97" spans="1:11" x14ac:dyDescent="0.3">
      <c r="A97" s="24"/>
      <c r="B97" s="20"/>
      <c r="C97" s="13" t="s">
        <v>48</v>
      </c>
      <c r="D97" s="11">
        <v>11</v>
      </c>
      <c r="E97" s="13">
        <v>4</v>
      </c>
      <c r="F97" s="11">
        <v>1</v>
      </c>
      <c r="G97" s="11">
        <v>1</v>
      </c>
      <c r="H97" s="11">
        <v>0</v>
      </c>
      <c r="I97" s="11">
        <v>86</v>
      </c>
      <c r="J97">
        <f t="shared" si="5"/>
        <v>103</v>
      </c>
      <c r="K97" s="23"/>
    </row>
    <row r="98" spans="1:11" x14ac:dyDescent="0.3">
      <c r="A98" s="24"/>
      <c r="B98" s="24" t="s">
        <v>94</v>
      </c>
      <c r="C98" s="13" t="s">
        <v>45</v>
      </c>
      <c r="D98" s="11">
        <v>53</v>
      </c>
      <c r="E98" s="13">
        <v>21</v>
      </c>
      <c r="F98" s="11">
        <v>1</v>
      </c>
      <c r="G98" s="11">
        <v>0</v>
      </c>
      <c r="H98" s="11">
        <v>21</v>
      </c>
      <c r="I98" s="11">
        <v>4</v>
      </c>
      <c r="J98">
        <f t="shared" si="5"/>
        <v>100</v>
      </c>
      <c r="K98" s="23">
        <f t="shared" si="4"/>
        <v>1675</v>
      </c>
    </row>
    <row r="99" spans="1:11" x14ac:dyDescent="0.3">
      <c r="A99" s="24"/>
      <c r="B99" s="24"/>
      <c r="C99" s="13" t="s">
        <v>0</v>
      </c>
      <c r="D99" s="11">
        <v>22</v>
      </c>
      <c r="E99" s="13">
        <v>721</v>
      </c>
      <c r="F99" s="11">
        <v>4</v>
      </c>
      <c r="G99" s="11">
        <v>4</v>
      </c>
      <c r="H99" s="11">
        <v>51</v>
      </c>
      <c r="I99" s="11">
        <v>9</v>
      </c>
      <c r="J99">
        <f t="shared" si="5"/>
        <v>811</v>
      </c>
      <c r="K99" s="23"/>
    </row>
    <row r="100" spans="1:11" x14ac:dyDescent="0.3">
      <c r="A100" s="24"/>
      <c r="B100" s="24"/>
      <c r="C100" s="13" t="s">
        <v>46</v>
      </c>
      <c r="D100" s="11">
        <v>2</v>
      </c>
      <c r="E100" s="13">
        <v>2</v>
      </c>
      <c r="F100" s="11">
        <v>307</v>
      </c>
      <c r="G100" s="11">
        <v>2</v>
      </c>
      <c r="H100" s="11">
        <v>2</v>
      </c>
      <c r="I100" s="11">
        <v>1</v>
      </c>
      <c r="J100">
        <f t="shared" si="5"/>
        <v>316</v>
      </c>
      <c r="K100" s="23"/>
    </row>
    <row r="101" spans="1:11" x14ac:dyDescent="0.3">
      <c r="A101" s="24"/>
      <c r="B101" s="24"/>
      <c r="C101" s="13" t="s">
        <v>1</v>
      </c>
      <c r="D101" s="11">
        <v>0</v>
      </c>
      <c r="E101" s="13">
        <v>0</v>
      </c>
      <c r="F101" s="11">
        <v>0</v>
      </c>
      <c r="G101" s="11">
        <v>7</v>
      </c>
      <c r="H101" s="11">
        <v>0</v>
      </c>
      <c r="I101" s="11">
        <v>0</v>
      </c>
      <c r="J101">
        <f t="shared" si="5"/>
        <v>7</v>
      </c>
      <c r="K101" s="23"/>
    </row>
    <row r="102" spans="1:11" x14ac:dyDescent="0.3">
      <c r="A102" s="24"/>
      <c r="B102" s="24"/>
      <c r="C102" s="13" t="s">
        <v>47</v>
      </c>
      <c r="D102" s="11">
        <v>40</v>
      </c>
      <c r="E102" s="13">
        <v>42</v>
      </c>
      <c r="F102" s="11">
        <v>2</v>
      </c>
      <c r="G102" s="11">
        <v>3</v>
      </c>
      <c r="H102" s="11">
        <v>325</v>
      </c>
      <c r="I102" s="11">
        <v>5</v>
      </c>
      <c r="J102">
        <f t="shared" si="5"/>
        <v>417</v>
      </c>
      <c r="K102" s="23"/>
    </row>
    <row r="103" spans="1:11" x14ac:dyDescent="0.3">
      <c r="A103" s="24"/>
      <c r="B103" s="24"/>
      <c r="C103" s="13" t="s">
        <v>48</v>
      </c>
      <c r="D103" s="11">
        <v>7</v>
      </c>
      <c r="E103" s="13">
        <v>5</v>
      </c>
      <c r="F103" s="11">
        <v>0</v>
      </c>
      <c r="G103" s="11">
        <v>0</v>
      </c>
      <c r="H103" s="11">
        <v>2</v>
      </c>
      <c r="I103" s="11">
        <v>10</v>
      </c>
      <c r="J103">
        <f t="shared" si="5"/>
        <v>24</v>
      </c>
      <c r="K103" s="23"/>
    </row>
    <row r="104" spans="1:11" x14ac:dyDescent="0.3">
      <c r="A104" s="24"/>
      <c r="B104" s="24" t="s">
        <v>95</v>
      </c>
      <c r="C104" s="13" t="s">
        <v>45</v>
      </c>
      <c r="D104" s="11">
        <v>26</v>
      </c>
      <c r="E104" s="13">
        <v>14</v>
      </c>
      <c r="F104" s="11">
        <v>0</v>
      </c>
      <c r="G104" s="11">
        <v>0</v>
      </c>
      <c r="H104" s="11">
        <v>9</v>
      </c>
      <c r="I104" s="11">
        <v>5</v>
      </c>
      <c r="J104">
        <f t="shared" si="5"/>
        <v>54</v>
      </c>
      <c r="K104" s="23">
        <f t="shared" si="4"/>
        <v>847</v>
      </c>
    </row>
    <row r="105" spans="1:11" x14ac:dyDescent="0.3">
      <c r="A105" s="24"/>
      <c r="B105" s="24"/>
      <c r="C105" s="13" t="s">
        <v>0</v>
      </c>
      <c r="D105" s="11">
        <v>20</v>
      </c>
      <c r="E105" s="13">
        <v>347</v>
      </c>
      <c r="F105" s="11">
        <v>2</v>
      </c>
      <c r="G105" s="11">
        <v>2</v>
      </c>
      <c r="H105" s="11">
        <v>33</v>
      </c>
      <c r="I105" s="11">
        <v>8</v>
      </c>
      <c r="J105">
        <f t="shared" si="5"/>
        <v>412</v>
      </c>
      <c r="K105" s="23"/>
    </row>
    <row r="106" spans="1:11" x14ac:dyDescent="0.3">
      <c r="A106" s="24"/>
      <c r="B106" s="24"/>
      <c r="C106" s="13" t="s">
        <v>46</v>
      </c>
      <c r="D106" s="11">
        <v>1</v>
      </c>
      <c r="E106" s="13">
        <v>1</v>
      </c>
      <c r="F106" s="11">
        <v>136</v>
      </c>
      <c r="G106" s="11">
        <v>1</v>
      </c>
      <c r="H106" s="11">
        <v>1</v>
      </c>
      <c r="I106" s="11">
        <v>0</v>
      </c>
      <c r="J106">
        <f t="shared" si="5"/>
        <v>140</v>
      </c>
      <c r="K106" s="23"/>
    </row>
    <row r="107" spans="1:11" x14ac:dyDescent="0.3">
      <c r="A107" s="24"/>
      <c r="B107" s="24"/>
      <c r="C107" s="13" t="s">
        <v>1</v>
      </c>
      <c r="D107" s="11">
        <v>0</v>
      </c>
      <c r="E107" s="13">
        <v>0</v>
      </c>
      <c r="F107" s="11">
        <v>0</v>
      </c>
      <c r="G107" s="11">
        <v>8</v>
      </c>
      <c r="H107" s="11">
        <v>1</v>
      </c>
      <c r="I107" s="11">
        <v>0</v>
      </c>
      <c r="J107">
        <f t="shared" si="5"/>
        <v>9</v>
      </c>
      <c r="K107" s="23"/>
    </row>
    <row r="108" spans="1:11" x14ac:dyDescent="0.3">
      <c r="A108" s="24"/>
      <c r="B108" s="24"/>
      <c r="C108" s="13" t="s">
        <v>47</v>
      </c>
      <c r="D108" s="11">
        <v>27</v>
      </c>
      <c r="E108" s="13">
        <v>29</v>
      </c>
      <c r="F108" s="11">
        <v>1</v>
      </c>
      <c r="G108" s="11">
        <v>1</v>
      </c>
      <c r="H108" s="11">
        <v>150</v>
      </c>
      <c r="I108" s="11">
        <v>2</v>
      </c>
      <c r="J108">
        <f t="shared" si="5"/>
        <v>210</v>
      </c>
      <c r="K108" s="23"/>
    </row>
    <row r="109" spans="1:11" x14ac:dyDescent="0.3">
      <c r="A109" s="24"/>
      <c r="B109" s="24"/>
      <c r="C109" s="13" t="s">
        <v>48</v>
      </c>
      <c r="D109" s="11">
        <v>5</v>
      </c>
      <c r="E109" s="13">
        <v>4</v>
      </c>
      <c r="F109" s="11">
        <v>0</v>
      </c>
      <c r="G109" s="11">
        <v>0</v>
      </c>
      <c r="H109" s="11">
        <v>3</v>
      </c>
      <c r="I109" s="11">
        <v>10</v>
      </c>
      <c r="J109">
        <f t="shared" si="5"/>
        <v>22</v>
      </c>
      <c r="K109" s="23"/>
    </row>
  </sheetData>
  <mergeCells count="43">
    <mergeCell ref="B2:B7"/>
    <mergeCell ref="B8:B13"/>
    <mergeCell ref="B14:B19"/>
    <mergeCell ref="A2:A19"/>
    <mergeCell ref="A20:A37"/>
    <mergeCell ref="B20:B25"/>
    <mergeCell ref="B26:B31"/>
    <mergeCell ref="B32:B37"/>
    <mergeCell ref="K2:K7"/>
    <mergeCell ref="K20:K25"/>
    <mergeCell ref="K8:K13"/>
    <mergeCell ref="K14:K19"/>
    <mergeCell ref="K26:K31"/>
    <mergeCell ref="B104:B109"/>
    <mergeCell ref="A92:A109"/>
    <mergeCell ref="A74:A91"/>
    <mergeCell ref="A56:A73"/>
    <mergeCell ref="A38:A55"/>
    <mergeCell ref="B68:B73"/>
    <mergeCell ref="B74:B79"/>
    <mergeCell ref="B80:B85"/>
    <mergeCell ref="B86:B91"/>
    <mergeCell ref="B92:B97"/>
    <mergeCell ref="B98:B103"/>
    <mergeCell ref="B38:B43"/>
    <mergeCell ref="B44:B49"/>
    <mergeCell ref="B50:B55"/>
    <mergeCell ref="B56:B61"/>
    <mergeCell ref="B62:B67"/>
    <mergeCell ref="K104:K109"/>
    <mergeCell ref="N14:N19"/>
    <mergeCell ref="K68:K73"/>
    <mergeCell ref="K74:K79"/>
    <mergeCell ref="K80:K85"/>
    <mergeCell ref="K86:K91"/>
    <mergeCell ref="K92:K97"/>
    <mergeCell ref="K98:K103"/>
    <mergeCell ref="K32:K37"/>
    <mergeCell ref="K38:K43"/>
    <mergeCell ref="K44:K49"/>
    <mergeCell ref="K50:K55"/>
    <mergeCell ref="K56:K61"/>
    <mergeCell ref="K62:K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0F2-59DC-476E-BEE7-212944D73AFC}">
  <dimension ref="A1:AD45"/>
  <sheetViews>
    <sheetView workbookViewId="0">
      <selection activeCell="M1" sqref="M1:T45"/>
    </sheetView>
  </sheetViews>
  <sheetFormatPr defaultRowHeight="14.4" x14ac:dyDescent="0.3"/>
  <cols>
    <col min="1" max="1" width="21.6640625" bestFit="1" customWidth="1"/>
    <col min="2" max="2" width="4.6640625" bestFit="1" customWidth="1"/>
    <col min="3" max="3" width="10.109375" bestFit="1" customWidth="1"/>
    <col min="4" max="4" width="4" bestFit="1" customWidth="1"/>
    <col min="5" max="5" width="14.88671875" bestFit="1" customWidth="1"/>
    <col min="6" max="7" width="4.21875" bestFit="1" customWidth="1"/>
    <col min="11" max="11" width="43.88671875" bestFit="1" customWidth="1"/>
    <col min="13" max="13" width="18.88671875" customWidth="1"/>
    <col min="14" max="14" width="11.109375" customWidth="1"/>
    <col min="15" max="15" width="19.21875" customWidth="1"/>
    <col min="16" max="16" width="10.44140625" customWidth="1"/>
    <col min="17" max="17" width="20.109375" customWidth="1"/>
    <col min="18" max="18" width="9.6640625" customWidth="1"/>
    <col min="19" max="19" width="9.21875" customWidth="1"/>
    <col min="20" max="20" width="18.44140625" customWidth="1"/>
  </cols>
  <sheetData>
    <row r="1" spans="1:30" x14ac:dyDescent="0.3">
      <c r="A1" t="s">
        <v>44</v>
      </c>
      <c r="B1" t="s">
        <v>45</v>
      </c>
      <c r="C1" t="s">
        <v>0</v>
      </c>
      <c r="D1" t="s">
        <v>46</v>
      </c>
      <c r="E1" t="s">
        <v>1</v>
      </c>
      <c r="F1" t="s">
        <v>47</v>
      </c>
      <c r="G1" t="s">
        <v>48</v>
      </c>
      <c r="H1" s="5"/>
      <c r="K1" t="s">
        <v>21</v>
      </c>
      <c r="M1" s="22" t="s">
        <v>44</v>
      </c>
      <c r="N1" s="22"/>
      <c r="O1" s="22"/>
      <c r="P1" s="22"/>
      <c r="Q1" s="22"/>
      <c r="R1" s="22"/>
      <c r="S1" s="22"/>
      <c r="T1" s="22"/>
    </row>
    <row r="2" spans="1:30" x14ac:dyDescent="0.3">
      <c r="A2" t="s">
        <v>45</v>
      </c>
      <c r="B2">
        <v>36</v>
      </c>
      <c r="C2">
        <v>9</v>
      </c>
      <c r="D2">
        <v>0</v>
      </c>
      <c r="E2">
        <v>0</v>
      </c>
      <c r="F2">
        <v>4</v>
      </c>
      <c r="G2">
        <v>2</v>
      </c>
      <c r="H2" s="6">
        <f>SUM(B2:G2)</f>
        <v>51</v>
      </c>
      <c r="I2">
        <v>73</v>
      </c>
      <c r="K2" t="s">
        <v>4</v>
      </c>
      <c r="M2" s="10" t="s">
        <v>69</v>
      </c>
      <c r="N2" s="10" t="s">
        <v>81</v>
      </c>
      <c r="O2" s="10" t="s">
        <v>82</v>
      </c>
      <c r="P2" s="10" t="s">
        <v>83</v>
      </c>
      <c r="Q2" s="10" t="s">
        <v>84</v>
      </c>
      <c r="R2" s="10" t="s">
        <v>85</v>
      </c>
      <c r="S2" s="10" t="s">
        <v>86</v>
      </c>
      <c r="T2" s="10" t="s">
        <v>70</v>
      </c>
      <c r="W2" s="10"/>
      <c r="X2" s="10"/>
      <c r="Y2" s="10"/>
      <c r="Z2" s="10"/>
      <c r="AA2" s="10"/>
      <c r="AB2" s="10"/>
      <c r="AC2" s="10"/>
      <c r="AD2" s="10"/>
    </row>
    <row r="3" spans="1:30" x14ac:dyDescent="0.3">
      <c r="A3" t="s">
        <v>0</v>
      </c>
      <c r="B3">
        <v>13</v>
      </c>
      <c r="C3">
        <v>369</v>
      </c>
      <c r="D3">
        <v>0</v>
      </c>
      <c r="E3">
        <v>0</v>
      </c>
      <c r="F3">
        <v>18</v>
      </c>
      <c r="G3">
        <v>5</v>
      </c>
      <c r="H3" s="6">
        <f t="shared" ref="H3:H7" si="0">SUM(B3:G3)</f>
        <v>405</v>
      </c>
      <c r="I3">
        <v>414</v>
      </c>
      <c r="K3" t="s">
        <v>60</v>
      </c>
      <c r="M3" s="12" t="s">
        <v>45</v>
      </c>
      <c r="N3" s="11">
        <v>36</v>
      </c>
      <c r="O3" s="11">
        <v>9</v>
      </c>
      <c r="P3" s="11">
        <v>0</v>
      </c>
      <c r="Q3" s="11">
        <v>0</v>
      </c>
      <c r="R3" s="11">
        <v>4</v>
      </c>
      <c r="S3" s="11">
        <v>2</v>
      </c>
      <c r="T3" s="11">
        <f>SUM(N3:S3)</f>
        <v>51</v>
      </c>
      <c r="W3" s="12"/>
      <c r="X3" s="11"/>
      <c r="Y3" s="11"/>
      <c r="Z3" s="11"/>
      <c r="AA3" s="11"/>
      <c r="AB3" s="11"/>
      <c r="AC3" s="11"/>
      <c r="AD3" s="11"/>
    </row>
    <row r="4" spans="1:30" x14ac:dyDescent="0.3">
      <c r="A4" t="s">
        <v>46</v>
      </c>
      <c r="B4">
        <v>0</v>
      </c>
      <c r="C4">
        <v>0</v>
      </c>
      <c r="D4">
        <v>154</v>
      </c>
      <c r="E4">
        <v>0</v>
      </c>
      <c r="F4">
        <v>0</v>
      </c>
      <c r="G4">
        <v>0</v>
      </c>
      <c r="H4" s="6">
        <f t="shared" si="0"/>
        <v>154</v>
      </c>
      <c r="I4">
        <v>195</v>
      </c>
      <c r="K4" t="s">
        <v>22</v>
      </c>
      <c r="M4" s="12" t="s">
        <v>0</v>
      </c>
      <c r="N4" s="11">
        <v>13</v>
      </c>
      <c r="O4" s="11">
        <v>369</v>
      </c>
      <c r="P4" s="11">
        <v>0</v>
      </c>
      <c r="Q4" s="11">
        <v>0</v>
      </c>
      <c r="R4" s="11">
        <v>18</v>
      </c>
      <c r="S4" s="11">
        <v>5</v>
      </c>
      <c r="T4" s="11">
        <f t="shared" ref="T4:T8" si="1">SUM(N4:S4)</f>
        <v>405</v>
      </c>
      <c r="W4" s="12"/>
      <c r="X4" s="11"/>
      <c r="Y4" s="11"/>
      <c r="Z4" s="11"/>
      <c r="AA4" s="11"/>
      <c r="AB4" s="11"/>
      <c r="AC4" s="11"/>
      <c r="AD4" s="11"/>
    </row>
    <row r="5" spans="1:30" x14ac:dyDescent="0.3">
      <c r="A5" t="s">
        <v>1</v>
      </c>
      <c r="B5">
        <v>0</v>
      </c>
      <c r="C5">
        <v>0</v>
      </c>
      <c r="D5">
        <v>0</v>
      </c>
      <c r="E5">
        <v>11</v>
      </c>
      <c r="F5">
        <v>2</v>
      </c>
      <c r="G5">
        <v>0</v>
      </c>
      <c r="H5" s="6">
        <f t="shared" si="0"/>
        <v>13</v>
      </c>
      <c r="I5">
        <v>17</v>
      </c>
      <c r="K5" t="s">
        <v>55</v>
      </c>
      <c r="M5" s="12" t="s">
        <v>46</v>
      </c>
      <c r="N5" s="11">
        <v>0</v>
      </c>
      <c r="O5" s="11">
        <v>0</v>
      </c>
      <c r="P5" s="11">
        <v>154</v>
      </c>
      <c r="Q5" s="11">
        <v>0</v>
      </c>
      <c r="R5" s="11">
        <v>0</v>
      </c>
      <c r="S5" s="11">
        <v>0</v>
      </c>
      <c r="T5" s="11">
        <f t="shared" si="1"/>
        <v>154</v>
      </c>
      <c r="W5" s="12"/>
      <c r="X5" s="11"/>
      <c r="Y5" s="11"/>
      <c r="Z5" s="11"/>
      <c r="AA5" s="11"/>
      <c r="AB5" s="11"/>
      <c r="AC5" s="11"/>
      <c r="AD5" s="11"/>
    </row>
    <row r="6" spans="1:30" x14ac:dyDescent="0.3">
      <c r="A6" t="s">
        <v>47</v>
      </c>
      <c r="B6">
        <v>18</v>
      </c>
      <c r="C6">
        <v>23</v>
      </c>
      <c r="D6">
        <v>0</v>
      </c>
      <c r="E6">
        <v>0</v>
      </c>
      <c r="F6">
        <v>169</v>
      </c>
      <c r="G6">
        <v>0</v>
      </c>
      <c r="H6" s="6">
        <f t="shared" si="0"/>
        <v>210</v>
      </c>
      <c r="I6">
        <v>200</v>
      </c>
      <c r="K6" t="s">
        <v>57</v>
      </c>
      <c r="M6" s="12" t="s">
        <v>1</v>
      </c>
      <c r="N6" s="11">
        <v>0</v>
      </c>
      <c r="O6" s="11">
        <v>0</v>
      </c>
      <c r="P6" s="11">
        <v>0</v>
      </c>
      <c r="Q6" s="11">
        <v>11</v>
      </c>
      <c r="R6" s="11">
        <v>2</v>
      </c>
      <c r="S6" s="11">
        <v>0</v>
      </c>
      <c r="T6" s="11">
        <f t="shared" si="1"/>
        <v>13</v>
      </c>
      <c r="W6" s="12"/>
      <c r="X6" s="11"/>
      <c r="Y6" s="11"/>
      <c r="Z6" s="11"/>
      <c r="AA6" s="11"/>
      <c r="AB6" s="11"/>
      <c r="AC6" s="11"/>
      <c r="AD6" s="11"/>
    </row>
    <row r="7" spans="1:30" x14ac:dyDescent="0.3">
      <c r="A7" t="s">
        <v>48</v>
      </c>
      <c r="B7">
        <v>2</v>
      </c>
      <c r="C7">
        <v>1</v>
      </c>
      <c r="D7">
        <v>0</v>
      </c>
      <c r="E7">
        <v>0</v>
      </c>
      <c r="F7">
        <v>0</v>
      </c>
      <c r="G7">
        <v>14</v>
      </c>
      <c r="H7" s="6">
        <f t="shared" si="0"/>
        <v>17</v>
      </c>
      <c r="I7">
        <v>23</v>
      </c>
      <c r="K7" t="s">
        <v>52</v>
      </c>
      <c r="M7" s="12" t="s">
        <v>47</v>
      </c>
      <c r="N7" s="11">
        <v>18</v>
      </c>
      <c r="O7" s="11">
        <v>23</v>
      </c>
      <c r="P7" s="11">
        <v>0</v>
      </c>
      <c r="Q7" s="11">
        <v>0</v>
      </c>
      <c r="R7" s="11">
        <v>169</v>
      </c>
      <c r="S7" s="11">
        <v>0</v>
      </c>
      <c r="T7" s="11">
        <f t="shared" si="1"/>
        <v>210</v>
      </c>
      <c r="W7" s="12"/>
      <c r="X7" s="11"/>
      <c r="Y7" s="11"/>
      <c r="Z7" s="11"/>
      <c r="AA7" s="11"/>
      <c r="AB7" s="11"/>
      <c r="AC7" s="11"/>
      <c r="AD7" s="11"/>
    </row>
    <row r="8" spans="1:30" x14ac:dyDescent="0.3">
      <c r="B8">
        <f>SUM(B2:B7)</f>
        <v>69</v>
      </c>
      <c r="C8">
        <f t="shared" ref="C8:G8" si="2">SUM(C2:C7)</f>
        <v>402</v>
      </c>
      <c r="D8">
        <f t="shared" si="2"/>
        <v>154</v>
      </c>
      <c r="E8">
        <f t="shared" si="2"/>
        <v>11</v>
      </c>
      <c r="F8">
        <f t="shared" si="2"/>
        <v>193</v>
      </c>
      <c r="G8">
        <f t="shared" si="2"/>
        <v>21</v>
      </c>
      <c r="H8">
        <f>SUM(H2:H7)</f>
        <v>850</v>
      </c>
      <c r="I8">
        <f>SUM(I2:I7)</f>
        <v>922</v>
      </c>
      <c r="K8" t="s">
        <v>23</v>
      </c>
      <c r="M8" s="12" t="s">
        <v>48</v>
      </c>
      <c r="N8" s="11">
        <v>2</v>
      </c>
      <c r="O8" s="11">
        <v>1</v>
      </c>
      <c r="P8" s="11">
        <v>0</v>
      </c>
      <c r="Q8" s="11">
        <v>0</v>
      </c>
      <c r="R8" s="11">
        <v>0</v>
      </c>
      <c r="S8" s="11">
        <v>14</v>
      </c>
      <c r="T8" s="11">
        <f t="shared" si="1"/>
        <v>17</v>
      </c>
      <c r="W8" s="12"/>
      <c r="X8" s="11"/>
      <c r="Y8" s="11"/>
      <c r="Z8" s="11"/>
      <c r="AA8" s="11"/>
      <c r="AB8" s="11"/>
      <c r="AC8" s="11"/>
      <c r="AD8" s="11"/>
    </row>
    <row r="9" spans="1:30" x14ac:dyDescent="0.3">
      <c r="K9" t="s">
        <v>24</v>
      </c>
      <c r="M9" s="12" t="s">
        <v>71</v>
      </c>
      <c r="N9" s="11">
        <v>73</v>
      </c>
      <c r="O9" s="11">
        <v>414</v>
      </c>
      <c r="P9" s="11">
        <v>195</v>
      </c>
      <c r="Q9" s="11">
        <v>17</v>
      </c>
      <c r="R9" s="11">
        <v>200</v>
      </c>
      <c r="S9" s="11">
        <v>23</v>
      </c>
      <c r="T9" s="11"/>
      <c r="W9" s="12"/>
      <c r="X9" s="11"/>
      <c r="Y9" s="11"/>
      <c r="Z9" s="11"/>
      <c r="AA9" s="11"/>
      <c r="AB9" s="11"/>
      <c r="AC9" s="11"/>
      <c r="AD9" s="11"/>
    </row>
    <row r="10" spans="1:30" x14ac:dyDescent="0.3">
      <c r="A10" t="s">
        <v>40</v>
      </c>
      <c r="B10" t="s">
        <v>45</v>
      </c>
      <c r="C10" t="s">
        <v>0</v>
      </c>
      <c r="D10" t="s">
        <v>46</v>
      </c>
      <c r="E10" t="s">
        <v>1</v>
      </c>
      <c r="F10" t="s">
        <v>47</v>
      </c>
      <c r="G10" t="s">
        <v>48</v>
      </c>
      <c r="K10" t="s">
        <v>4</v>
      </c>
      <c r="M10" s="22" t="s">
        <v>40</v>
      </c>
      <c r="N10" s="22"/>
      <c r="O10" s="22"/>
      <c r="P10" s="22"/>
      <c r="Q10" s="22"/>
      <c r="R10" s="22"/>
      <c r="S10" s="22"/>
      <c r="T10" s="22"/>
    </row>
    <row r="11" spans="1:30" x14ac:dyDescent="0.3">
      <c r="A11" t="s">
        <v>45</v>
      </c>
      <c r="B11">
        <v>38</v>
      </c>
      <c r="C11">
        <v>5</v>
      </c>
      <c r="D11">
        <v>0</v>
      </c>
      <c r="E11">
        <v>0</v>
      </c>
      <c r="F11">
        <v>4</v>
      </c>
      <c r="G11">
        <v>3</v>
      </c>
      <c r="H11">
        <f>SUM(B11:G11)</f>
        <v>50</v>
      </c>
      <c r="I11">
        <v>73</v>
      </c>
      <c r="M11" s="10" t="s">
        <v>69</v>
      </c>
      <c r="N11" s="10" t="s">
        <v>81</v>
      </c>
      <c r="O11" s="10" t="s">
        <v>82</v>
      </c>
      <c r="P11" s="10" t="s">
        <v>83</v>
      </c>
      <c r="Q11" s="10" t="s">
        <v>84</v>
      </c>
      <c r="R11" s="10" t="s">
        <v>85</v>
      </c>
      <c r="S11" s="10" t="s">
        <v>86</v>
      </c>
      <c r="T11" s="10" t="s">
        <v>70</v>
      </c>
    </row>
    <row r="12" spans="1:30" x14ac:dyDescent="0.3">
      <c r="A12" t="s">
        <v>0</v>
      </c>
      <c r="B12">
        <v>13</v>
      </c>
      <c r="C12">
        <v>373</v>
      </c>
      <c r="D12">
        <v>0</v>
      </c>
      <c r="E12">
        <v>0</v>
      </c>
      <c r="F12">
        <v>19</v>
      </c>
      <c r="G12">
        <v>3</v>
      </c>
      <c r="H12">
        <f t="shared" ref="H12:H40" si="3">SUM(B12:G12)</f>
        <v>408</v>
      </c>
      <c r="I12">
        <v>414</v>
      </c>
      <c r="M12" s="12" t="s">
        <v>45</v>
      </c>
      <c r="N12" s="11">
        <v>34</v>
      </c>
      <c r="O12" s="11">
        <v>10</v>
      </c>
      <c r="P12" s="11">
        <v>0</v>
      </c>
      <c r="Q12" s="11">
        <v>0</v>
      </c>
      <c r="R12" s="11">
        <v>6</v>
      </c>
      <c r="S12" s="11">
        <v>3</v>
      </c>
      <c r="T12" s="11">
        <v>53</v>
      </c>
    </row>
    <row r="13" spans="1:30" x14ac:dyDescent="0.3">
      <c r="A13" t="s">
        <v>46</v>
      </c>
      <c r="B13">
        <v>0</v>
      </c>
      <c r="C13">
        <v>0</v>
      </c>
      <c r="D13">
        <v>136</v>
      </c>
      <c r="E13">
        <v>0</v>
      </c>
      <c r="F13">
        <v>0</v>
      </c>
      <c r="G13">
        <v>0</v>
      </c>
      <c r="H13">
        <f t="shared" si="3"/>
        <v>136</v>
      </c>
      <c r="I13">
        <v>195</v>
      </c>
      <c r="M13" s="12" t="s">
        <v>0</v>
      </c>
      <c r="N13" s="11">
        <v>15</v>
      </c>
      <c r="O13" s="11">
        <v>366</v>
      </c>
      <c r="P13" s="11">
        <v>0</v>
      </c>
      <c r="Q13" s="11">
        <v>0</v>
      </c>
      <c r="R13" s="11">
        <v>24</v>
      </c>
      <c r="S13" s="11">
        <v>4</v>
      </c>
      <c r="T13" s="11">
        <v>409</v>
      </c>
    </row>
    <row r="14" spans="1:30" x14ac:dyDescent="0.3">
      <c r="A14" t="s">
        <v>1</v>
      </c>
      <c r="B14">
        <v>0</v>
      </c>
      <c r="C14">
        <v>0</v>
      </c>
      <c r="D14">
        <v>0</v>
      </c>
      <c r="E14">
        <v>14</v>
      </c>
      <c r="F14">
        <v>1</v>
      </c>
      <c r="G14">
        <v>0</v>
      </c>
      <c r="H14">
        <f t="shared" si="3"/>
        <v>15</v>
      </c>
      <c r="I14">
        <v>17</v>
      </c>
      <c r="M14" s="12" t="s">
        <v>46</v>
      </c>
      <c r="N14" s="11">
        <v>0</v>
      </c>
      <c r="O14" s="11">
        <v>0</v>
      </c>
      <c r="P14" s="11">
        <v>150</v>
      </c>
      <c r="Q14" s="11">
        <v>0</v>
      </c>
      <c r="R14" s="11">
        <v>0</v>
      </c>
      <c r="S14" s="11">
        <v>0</v>
      </c>
      <c r="T14" s="11">
        <v>150</v>
      </c>
    </row>
    <row r="15" spans="1:30" x14ac:dyDescent="0.3">
      <c r="A15" t="s">
        <v>47</v>
      </c>
      <c r="B15">
        <v>15</v>
      </c>
      <c r="C15">
        <v>22</v>
      </c>
      <c r="D15">
        <v>0</v>
      </c>
      <c r="E15">
        <v>0</v>
      </c>
      <c r="F15">
        <v>169</v>
      </c>
      <c r="G15">
        <v>0</v>
      </c>
      <c r="H15">
        <f t="shared" si="3"/>
        <v>206</v>
      </c>
      <c r="I15">
        <v>200</v>
      </c>
      <c r="M15" s="12" t="s">
        <v>1</v>
      </c>
      <c r="N15" s="11">
        <v>0</v>
      </c>
      <c r="O15" s="11">
        <v>0</v>
      </c>
      <c r="P15" s="11">
        <v>0</v>
      </c>
      <c r="Q15" s="11">
        <v>10</v>
      </c>
      <c r="R15" s="11">
        <v>2</v>
      </c>
      <c r="S15" s="11">
        <v>0</v>
      </c>
      <c r="T15" s="11">
        <v>12</v>
      </c>
    </row>
    <row r="16" spans="1:30" x14ac:dyDescent="0.3">
      <c r="A16" t="s">
        <v>48</v>
      </c>
      <c r="B16">
        <v>3</v>
      </c>
      <c r="C16">
        <v>2</v>
      </c>
      <c r="D16">
        <v>0</v>
      </c>
      <c r="E16">
        <v>0</v>
      </c>
      <c r="F16">
        <v>0</v>
      </c>
      <c r="G16">
        <v>15</v>
      </c>
      <c r="H16">
        <f t="shared" si="3"/>
        <v>20</v>
      </c>
      <c r="I16">
        <v>23</v>
      </c>
      <c r="M16" s="12" t="s">
        <v>47</v>
      </c>
      <c r="N16" s="11">
        <v>20</v>
      </c>
      <c r="O16" s="11">
        <v>25</v>
      </c>
      <c r="P16" s="11">
        <v>0</v>
      </c>
      <c r="Q16" s="11">
        <v>0</v>
      </c>
      <c r="R16" s="11">
        <v>164</v>
      </c>
      <c r="S16" s="11">
        <v>1</v>
      </c>
      <c r="T16" s="11">
        <v>210</v>
      </c>
    </row>
    <row r="17" spans="1:20" x14ac:dyDescent="0.3">
      <c r="H17">
        <f>SUM(H11:H16)</f>
        <v>835</v>
      </c>
      <c r="I17">
        <f>SUM(I11:I16)</f>
        <v>922</v>
      </c>
      <c r="M17" s="12" t="s">
        <v>48</v>
      </c>
      <c r="N17" s="11">
        <v>4</v>
      </c>
      <c r="O17" s="11">
        <v>2</v>
      </c>
      <c r="P17" s="11">
        <v>0</v>
      </c>
      <c r="Q17" s="11">
        <v>0</v>
      </c>
      <c r="R17" s="11">
        <v>1</v>
      </c>
      <c r="S17" s="11">
        <v>13</v>
      </c>
      <c r="T17" s="11">
        <v>20</v>
      </c>
    </row>
    <row r="18" spans="1:20" x14ac:dyDescent="0.3">
      <c r="A18" t="s">
        <v>41</v>
      </c>
      <c r="B18" t="s">
        <v>45</v>
      </c>
      <c r="C18" t="s">
        <v>0</v>
      </c>
      <c r="D18" t="s">
        <v>46</v>
      </c>
      <c r="E18" t="s">
        <v>1</v>
      </c>
      <c r="F18" t="s">
        <v>47</v>
      </c>
      <c r="G18" t="s">
        <v>48</v>
      </c>
      <c r="M18" s="12" t="s">
        <v>71</v>
      </c>
      <c r="N18" s="11">
        <v>73</v>
      </c>
      <c r="O18" s="11">
        <v>414</v>
      </c>
      <c r="P18" s="11">
        <v>195</v>
      </c>
      <c r="Q18" s="11">
        <v>17</v>
      </c>
      <c r="R18" s="11">
        <v>200</v>
      </c>
      <c r="S18" s="11">
        <v>23</v>
      </c>
      <c r="T18" s="11"/>
    </row>
    <row r="19" spans="1:20" x14ac:dyDescent="0.3">
      <c r="A19" t="s">
        <v>45</v>
      </c>
      <c r="B19">
        <v>36</v>
      </c>
      <c r="C19">
        <v>5</v>
      </c>
      <c r="D19">
        <v>0</v>
      </c>
      <c r="E19">
        <v>0</v>
      </c>
      <c r="F19">
        <v>2</v>
      </c>
      <c r="G19">
        <v>1</v>
      </c>
      <c r="H19">
        <f t="shared" si="3"/>
        <v>44</v>
      </c>
      <c r="I19">
        <v>73</v>
      </c>
      <c r="M19" s="22" t="s">
        <v>41</v>
      </c>
      <c r="N19" s="22"/>
      <c r="O19" s="22"/>
      <c r="P19" s="22"/>
      <c r="Q19" s="22"/>
      <c r="R19" s="22"/>
      <c r="S19" s="22"/>
      <c r="T19" s="22"/>
    </row>
    <row r="20" spans="1:20" x14ac:dyDescent="0.3">
      <c r="A20" t="s">
        <v>0</v>
      </c>
      <c r="B20">
        <v>9</v>
      </c>
      <c r="C20">
        <v>366</v>
      </c>
      <c r="D20">
        <v>0</v>
      </c>
      <c r="E20">
        <v>0</v>
      </c>
      <c r="F20">
        <v>18</v>
      </c>
      <c r="G20">
        <v>6</v>
      </c>
      <c r="H20">
        <f t="shared" si="3"/>
        <v>399</v>
      </c>
      <c r="I20">
        <v>414</v>
      </c>
      <c r="M20" s="10" t="s">
        <v>69</v>
      </c>
      <c r="N20" s="10" t="s">
        <v>81</v>
      </c>
      <c r="O20" s="10" t="s">
        <v>82</v>
      </c>
      <c r="P20" s="10" t="s">
        <v>83</v>
      </c>
      <c r="Q20" s="10" t="s">
        <v>84</v>
      </c>
      <c r="R20" s="10" t="s">
        <v>85</v>
      </c>
      <c r="S20" s="10" t="s">
        <v>86</v>
      </c>
      <c r="T20" s="10" t="s">
        <v>70</v>
      </c>
    </row>
    <row r="21" spans="1:20" x14ac:dyDescent="0.3">
      <c r="A21" t="s">
        <v>46</v>
      </c>
      <c r="B21">
        <v>0</v>
      </c>
      <c r="C21">
        <v>0</v>
      </c>
      <c r="D21">
        <v>148</v>
      </c>
      <c r="E21">
        <v>0</v>
      </c>
      <c r="F21">
        <v>0</v>
      </c>
      <c r="G21">
        <v>0</v>
      </c>
      <c r="H21">
        <f t="shared" si="3"/>
        <v>148</v>
      </c>
      <c r="I21">
        <v>195</v>
      </c>
      <c r="M21" s="12" t="s">
        <v>45</v>
      </c>
      <c r="N21" s="11">
        <v>31</v>
      </c>
      <c r="O21" s="11">
        <v>11</v>
      </c>
      <c r="P21" s="11">
        <v>0</v>
      </c>
      <c r="Q21" s="11">
        <v>0</v>
      </c>
      <c r="R21" s="11">
        <v>7</v>
      </c>
      <c r="S21" s="11">
        <v>4</v>
      </c>
      <c r="T21" s="11">
        <v>53</v>
      </c>
    </row>
    <row r="22" spans="1:20" x14ac:dyDescent="0.3">
      <c r="A22" t="s">
        <v>1</v>
      </c>
      <c r="B22">
        <v>0</v>
      </c>
      <c r="C22">
        <v>0</v>
      </c>
      <c r="D22">
        <v>0</v>
      </c>
      <c r="E22">
        <v>16</v>
      </c>
      <c r="F22">
        <v>1</v>
      </c>
      <c r="G22">
        <v>0</v>
      </c>
      <c r="H22">
        <f t="shared" si="3"/>
        <v>17</v>
      </c>
      <c r="I22">
        <v>17</v>
      </c>
      <c r="M22" s="12" t="s">
        <v>0</v>
      </c>
      <c r="N22" s="11">
        <v>16</v>
      </c>
      <c r="O22" s="11">
        <v>362</v>
      </c>
      <c r="P22" s="11">
        <v>0</v>
      </c>
      <c r="Q22" s="11">
        <v>0</v>
      </c>
      <c r="R22" s="11">
        <v>28</v>
      </c>
      <c r="S22" s="11">
        <v>5</v>
      </c>
      <c r="T22" s="11">
        <v>411</v>
      </c>
    </row>
    <row r="23" spans="1:20" x14ac:dyDescent="0.3">
      <c r="A23" t="s">
        <v>47</v>
      </c>
      <c r="B23">
        <v>20</v>
      </c>
      <c r="C23">
        <v>27</v>
      </c>
      <c r="D23">
        <v>0</v>
      </c>
      <c r="E23">
        <v>0</v>
      </c>
      <c r="F23">
        <v>171</v>
      </c>
      <c r="G23">
        <v>0</v>
      </c>
      <c r="H23">
        <f t="shared" si="3"/>
        <v>218</v>
      </c>
      <c r="I23">
        <v>200</v>
      </c>
      <c r="M23" s="12" t="s">
        <v>46</v>
      </c>
      <c r="N23" s="11">
        <v>0</v>
      </c>
      <c r="O23" s="11">
        <v>0</v>
      </c>
      <c r="P23" s="11">
        <v>145</v>
      </c>
      <c r="Q23" s="11">
        <v>0</v>
      </c>
      <c r="R23" s="11">
        <v>0</v>
      </c>
      <c r="S23" s="11">
        <v>0</v>
      </c>
      <c r="T23" s="11">
        <v>145</v>
      </c>
    </row>
    <row r="24" spans="1:20" x14ac:dyDescent="0.3">
      <c r="A24" t="s">
        <v>48</v>
      </c>
      <c r="B24">
        <v>3</v>
      </c>
      <c r="C24">
        <v>2</v>
      </c>
      <c r="D24">
        <v>0</v>
      </c>
      <c r="E24">
        <v>0</v>
      </c>
      <c r="F24">
        <v>0</v>
      </c>
      <c r="G24">
        <v>11</v>
      </c>
      <c r="H24">
        <f t="shared" si="3"/>
        <v>16</v>
      </c>
      <c r="I24">
        <v>23</v>
      </c>
      <c r="M24" s="12" t="s">
        <v>1</v>
      </c>
      <c r="N24" s="11">
        <v>0</v>
      </c>
      <c r="O24" s="11">
        <v>0</v>
      </c>
      <c r="P24" s="11">
        <v>0</v>
      </c>
      <c r="Q24" s="11">
        <v>10</v>
      </c>
      <c r="R24" s="11">
        <v>1</v>
      </c>
      <c r="S24" s="11">
        <v>0</v>
      </c>
      <c r="T24" s="11">
        <v>11</v>
      </c>
    </row>
    <row r="25" spans="1:20" x14ac:dyDescent="0.3">
      <c r="H25">
        <f>SUM(H19:H24)</f>
        <v>842</v>
      </c>
      <c r="I25">
        <f>SUM(I19:I24)</f>
        <v>922</v>
      </c>
      <c r="M25" s="12" t="s">
        <v>47</v>
      </c>
      <c r="N25" s="11">
        <v>22</v>
      </c>
      <c r="O25" s="11">
        <v>26</v>
      </c>
      <c r="P25" s="11">
        <v>0</v>
      </c>
      <c r="Q25" s="11">
        <v>0</v>
      </c>
      <c r="R25" s="11">
        <v>160</v>
      </c>
      <c r="S25" s="11">
        <v>1</v>
      </c>
      <c r="T25" s="11">
        <v>209</v>
      </c>
    </row>
    <row r="26" spans="1:20" x14ac:dyDescent="0.3">
      <c r="A26" t="s">
        <v>42</v>
      </c>
      <c r="B26" t="s">
        <v>45</v>
      </c>
      <c r="C26" t="s">
        <v>0</v>
      </c>
      <c r="D26" t="s">
        <v>46</v>
      </c>
      <c r="E26" t="s">
        <v>1</v>
      </c>
      <c r="F26" t="s">
        <v>47</v>
      </c>
      <c r="G26" t="s">
        <v>48</v>
      </c>
      <c r="M26" s="12" t="s">
        <v>48</v>
      </c>
      <c r="N26" s="11">
        <v>4</v>
      </c>
      <c r="O26" s="11">
        <v>3</v>
      </c>
      <c r="P26" s="11">
        <v>0</v>
      </c>
      <c r="Q26" s="11">
        <v>0</v>
      </c>
      <c r="R26" s="11">
        <v>2</v>
      </c>
      <c r="S26" s="11">
        <v>12</v>
      </c>
      <c r="T26" s="11">
        <v>21</v>
      </c>
    </row>
    <row r="27" spans="1:20" x14ac:dyDescent="0.3">
      <c r="A27" t="s">
        <v>45</v>
      </c>
      <c r="B27">
        <v>37</v>
      </c>
      <c r="C27">
        <v>5</v>
      </c>
      <c r="D27">
        <v>0</v>
      </c>
      <c r="E27">
        <v>0</v>
      </c>
      <c r="F27">
        <v>2</v>
      </c>
      <c r="G27">
        <v>3</v>
      </c>
      <c r="H27">
        <f t="shared" si="3"/>
        <v>47</v>
      </c>
      <c r="I27">
        <v>73</v>
      </c>
      <c r="M27" s="12" t="s">
        <v>71</v>
      </c>
      <c r="N27" s="11">
        <v>73</v>
      </c>
      <c r="O27" s="11">
        <v>414</v>
      </c>
      <c r="P27" s="11">
        <v>195</v>
      </c>
      <c r="Q27" s="11">
        <v>17</v>
      </c>
      <c r="R27" s="11">
        <v>200</v>
      </c>
      <c r="S27" s="11">
        <v>23</v>
      </c>
      <c r="T27" s="11"/>
    </row>
    <row r="28" spans="1:20" x14ac:dyDescent="0.3">
      <c r="A28" t="s">
        <v>0</v>
      </c>
      <c r="B28">
        <v>15</v>
      </c>
      <c r="C28">
        <v>376</v>
      </c>
      <c r="D28">
        <v>0</v>
      </c>
      <c r="E28">
        <v>1</v>
      </c>
      <c r="F28">
        <v>22</v>
      </c>
      <c r="G28">
        <v>3</v>
      </c>
      <c r="H28">
        <f t="shared" si="3"/>
        <v>417</v>
      </c>
      <c r="I28">
        <v>414</v>
      </c>
      <c r="M28" s="22" t="s">
        <v>42</v>
      </c>
      <c r="N28" s="22"/>
      <c r="O28" s="22"/>
      <c r="P28" s="22"/>
      <c r="Q28" s="22"/>
      <c r="R28" s="22"/>
      <c r="S28" s="22"/>
      <c r="T28" s="22"/>
    </row>
    <row r="29" spans="1:20" x14ac:dyDescent="0.3">
      <c r="A29" t="s">
        <v>46</v>
      </c>
      <c r="B29">
        <v>0</v>
      </c>
      <c r="C29">
        <v>0</v>
      </c>
      <c r="D29">
        <v>141</v>
      </c>
      <c r="E29">
        <v>0</v>
      </c>
      <c r="F29">
        <v>0</v>
      </c>
      <c r="G29">
        <v>0</v>
      </c>
      <c r="H29">
        <f t="shared" si="3"/>
        <v>141</v>
      </c>
      <c r="I29">
        <v>195</v>
      </c>
      <c r="M29" s="10" t="s">
        <v>69</v>
      </c>
      <c r="N29" s="10" t="s">
        <v>81</v>
      </c>
      <c r="O29" s="10" t="s">
        <v>82</v>
      </c>
      <c r="P29" s="10" t="s">
        <v>83</v>
      </c>
      <c r="Q29" s="10" t="s">
        <v>84</v>
      </c>
      <c r="R29" s="10" t="s">
        <v>85</v>
      </c>
      <c r="S29" s="10" t="s">
        <v>86</v>
      </c>
      <c r="T29" s="10" t="s">
        <v>70</v>
      </c>
    </row>
    <row r="30" spans="1:20" x14ac:dyDescent="0.3">
      <c r="A30" t="s">
        <v>1</v>
      </c>
      <c r="B30">
        <v>0</v>
      </c>
      <c r="C30">
        <v>0</v>
      </c>
      <c r="D30">
        <v>0</v>
      </c>
      <c r="E30">
        <v>10</v>
      </c>
      <c r="F30">
        <v>0</v>
      </c>
      <c r="G30">
        <v>0</v>
      </c>
      <c r="H30">
        <f t="shared" si="3"/>
        <v>10</v>
      </c>
      <c r="I30">
        <v>17</v>
      </c>
      <c r="M30" s="12" t="s">
        <v>45</v>
      </c>
      <c r="N30" s="11">
        <v>29</v>
      </c>
      <c r="O30" s="11">
        <v>12</v>
      </c>
      <c r="P30" s="11">
        <v>0</v>
      </c>
      <c r="Q30" s="11">
        <v>0</v>
      </c>
      <c r="R30" s="11">
        <v>8</v>
      </c>
      <c r="S30" s="11">
        <v>4</v>
      </c>
      <c r="T30" s="11">
        <v>53</v>
      </c>
    </row>
    <row r="31" spans="1:20" x14ac:dyDescent="0.3">
      <c r="A31" t="s">
        <v>47</v>
      </c>
      <c r="B31">
        <v>15</v>
      </c>
      <c r="C31">
        <v>19</v>
      </c>
      <c r="D31">
        <v>0</v>
      </c>
      <c r="E31">
        <v>0</v>
      </c>
      <c r="F31">
        <v>168</v>
      </c>
      <c r="G31">
        <v>0</v>
      </c>
      <c r="H31">
        <f t="shared" si="3"/>
        <v>202</v>
      </c>
      <c r="I31">
        <v>200</v>
      </c>
      <c r="M31" s="12" t="s">
        <v>0</v>
      </c>
      <c r="N31" s="11">
        <v>17</v>
      </c>
      <c r="O31" s="11">
        <v>358</v>
      </c>
      <c r="P31" s="11">
        <v>0</v>
      </c>
      <c r="Q31" s="11">
        <v>0</v>
      </c>
      <c r="R31" s="11">
        <v>30</v>
      </c>
      <c r="S31" s="11">
        <v>6</v>
      </c>
      <c r="T31" s="11">
        <v>411</v>
      </c>
    </row>
    <row r="32" spans="1:20" x14ac:dyDescent="0.3">
      <c r="A32" t="s">
        <v>48</v>
      </c>
      <c r="B32">
        <v>1</v>
      </c>
      <c r="C32">
        <v>2</v>
      </c>
      <c r="D32">
        <v>0</v>
      </c>
      <c r="E32">
        <v>0</v>
      </c>
      <c r="F32">
        <v>0</v>
      </c>
      <c r="G32">
        <v>15</v>
      </c>
      <c r="H32">
        <f t="shared" si="3"/>
        <v>18</v>
      </c>
      <c r="I32">
        <v>23</v>
      </c>
      <c r="M32" s="12" t="s">
        <v>46</v>
      </c>
      <c r="N32" s="11">
        <v>0</v>
      </c>
      <c r="O32" s="11">
        <v>0</v>
      </c>
      <c r="P32" s="11">
        <v>142</v>
      </c>
      <c r="Q32" s="11">
        <v>0</v>
      </c>
      <c r="R32" s="11">
        <v>0</v>
      </c>
      <c r="S32" s="11">
        <v>0</v>
      </c>
      <c r="T32" s="11">
        <v>142</v>
      </c>
    </row>
    <row r="33" spans="1:20" x14ac:dyDescent="0.3">
      <c r="H33">
        <f>SUM(H27:H32)</f>
        <v>835</v>
      </c>
      <c r="I33">
        <f>SUM(I27:I32)</f>
        <v>922</v>
      </c>
      <c r="M33" s="12" t="s">
        <v>1</v>
      </c>
      <c r="N33" s="11">
        <v>0</v>
      </c>
      <c r="O33" s="11">
        <v>0</v>
      </c>
      <c r="P33" s="11">
        <v>0</v>
      </c>
      <c r="Q33" s="11">
        <v>9</v>
      </c>
      <c r="R33" s="11">
        <v>1</v>
      </c>
      <c r="S33" s="11">
        <v>0</v>
      </c>
      <c r="T33" s="11">
        <v>10</v>
      </c>
    </row>
    <row r="34" spans="1:20" x14ac:dyDescent="0.3">
      <c r="A34" t="s">
        <v>43</v>
      </c>
      <c r="B34" t="s">
        <v>45</v>
      </c>
      <c r="C34" t="s">
        <v>0</v>
      </c>
      <c r="D34" t="s">
        <v>46</v>
      </c>
      <c r="E34" t="s">
        <v>1</v>
      </c>
      <c r="F34" t="s">
        <v>47</v>
      </c>
      <c r="G34" t="s">
        <v>48</v>
      </c>
      <c r="H34">
        <f t="shared" si="3"/>
        <v>0</v>
      </c>
      <c r="M34" s="12" t="s">
        <v>47</v>
      </c>
      <c r="N34" s="11">
        <v>24</v>
      </c>
      <c r="O34" s="11">
        <v>27</v>
      </c>
      <c r="P34" s="11">
        <v>0</v>
      </c>
      <c r="Q34" s="11">
        <v>0</v>
      </c>
      <c r="R34" s="11">
        <v>156</v>
      </c>
      <c r="S34" s="11">
        <v>2</v>
      </c>
      <c r="T34" s="11">
        <v>209</v>
      </c>
    </row>
    <row r="35" spans="1:20" x14ac:dyDescent="0.3">
      <c r="A35" t="s">
        <v>45</v>
      </c>
      <c r="B35">
        <v>35</v>
      </c>
      <c r="C35">
        <v>7</v>
      </c>
      <c r="D35">
        <v>0</v>
      </c>
      <c r="E35">
        <v>0</v>
      </c>
      <c r="F35">
        <v>2</v>
      </c>
      <c r="G35">
        <v>5</v>
      </c>
      <c r="H35">
        <f t="shared" si="3"/>
        <v>49</v>
      </c>
      <c r="I35">
        <v>73</v>
      </c>
      <c r="M35" s="12" t="s">
        <v>48</v>
      </c>
      <c r="N35" s="11">
        <v>5</v>
      </c>
      <c r="O35" s="11">
        <v>3</v>
      </c>
      <c r="P35" s="11">
        <v>0</v>
      </c>
      <c r="Q35" s="11">
        <v>0</v>
      </c>
      <c r="R35" s="11">
        <v>2</v>
      </c>
      <c r="S35" s="11">
        <v>11</v>
      </c>
      <c r="T35" s="11">
        <v>21</v>
      </c>
    </row>
    <row r="36" spans="1:20" x14ac:dyDescent="0.3">
      <c r="A36" t="s">
        <v>0</v>
      </c>
      <c r="B36">
        <v>13</v>
      </c>
      <c r="C36">
        <v>375</v>
      </c>
      <c r="D36">
        <v>0</v>
      </c>
      <c r="E36">
        <v>0</v>
      </c>
      <c r="F36">
        <v>18</v>
      </c>
      <c r="G36">
        <v>3</v>
      </c>
      <c r="H36">
        <f t="shared" si="3"/>
        <v>409</v>
      </c>
      <c r="I36">
        <v>414</v>
      </c>
      <c r="M36" s="12" t="s">
        <v>71</v>
      </c>
      <c r="N36" s="11">
        <v>73</v>
      </c>
      <c r="O36" s="11">
        <v>414</v>
      </c>
      <c r="P36" s="11">
        <v>195</v>
      </c>
      <c r="Q36" s="11">
        <v>17</v>
      </c>
      <c r="R36" s="11">
        <v>200</v>
      </c>
      <c r="S36" s="11">
        <v>23</v>
      </c>
      <c r="T36" s="11"/>
    </row>
    <row r="37" spans="1:20" x14ac:dyDescent="0.3">
      <c r="A37" t="s">
        <v>46</v>
      </c>
      <c r="B37">
        <v>0</v>
      </c>
      <c r="C37">
        <v>0</v>
      </c>
      <c r="D37">
        <v>148</v>
      </c>
      <c r="E37">
        <v>0</v>
      </c>
      <c r="F37">
        <v>0</v>
      </c>
      <c r="G37">
        <v>0</v>
      </c>
      <c r="H37">
        <f t="shared" si="3"/>
        <v>148</v>
      </c>
      <c r="I37">
        <v>195</v>
      </c>
      <c r="M37" s="22" t="s">
        <v>43</v>
      </c>
      <c r="N37" s="22"/>
      <c r="O37" s="22"/>
      <c r="P37" s="22"/>
      <c r="Q37" s="22"/>
      <c r="R37" s="22"/>
      <c r="S37" s="22"/>
      <c r="T37" s="22"/>
    </row>
    <row r="38" spans="1:20" x14ac:dyDescent="0.3">
      <c r="A38" t="s">
        <v>1</v>
      </c>
      <c r="B38">
        <v>0</v>
      </c>
      <c r="C38">
        <v>0</v>
      </c>
      <c r="D38">
        <v>0</v>
      </c>
      <c r="E38">
        <v>13</v>
      </c>
      <c r="F38">
        <v>0</v>
      </c>
      <c r="G38">
        <v>0</v>
      </c>
      <c r="H38">
        <f t="shared" si="3"/>
        <v>13</v>
      </c>
      <c r="I38">
        <v>17</v>
      </c>
      <c r="M38" s="10" t="s">
        <v>69</v>
      </c>
      <c r="N38" s="10" t="s">
        <v>81</v>
      </c>
      <c r="O38" s="10" t="s">
        <v>82</v>
      </c>
      <c r="P38" s="10" t="s">
        <v>83</v>
      </c>
      <c r="Q38" s="10" t="s">
        <v>84</v>
      </c>
      <c r="R38" s="10" t="s">
        <v>85</v>
      </c>
      <c r="S38" s="10" t="s">
        <v>86</v>
      </c>
      <c r="T38" s="10" t="s">
        <v>70</v>
      </c>
    </row>
    <row r="39" spans="1:20" x14ac:dyDescent="0.3">
      <c r="A39" t="s">
        <v>47</v>
      </c>
      <c r="B39">
        <v>18</v>
      </c>
      <c r="C39">
        <v>17</v>
      </c>
      <c r="D39">
        <v>0</v>
      </c>
      <c r="E39">
        <v>0</v>
      </c>
      <c r="F39">
        <v>173</v>
      </c>
      <c r="G39">
        <v>0</v>
      </c>
      <c r="H39">
        <f t="shared" si="3"/>
        <v>208</v>
      </c>
      <c r="I39">
        <v>200</v>
      </c>
      <c r="M39" s="12" t="s">
        <v>45</v>
      </c>
      <c r="N39" s="11">
        <v>27</v>
      </c>
      <c r="O39" s="11">
        <v>13</v>
      </c>
      <c r="P39" s="11">
        <v>0</v>
      </c>
      <c r="Q39" s="11">
        <v>0</v>
      </c>
      <c r="R39" s="11">
        <v>9</v>
      </c>
      <c r="S39" s="11">
        <v>5</v>
      </c>
      <c r="T39" s="11">
        <v>54</v>
      </c>
    </row>
    <row r="40" spans="1:20" x14ac:dyDescent="0.3">
      <c r="A40" t="s">
        <v>48</v>
      </c>
      <c r="B40">
        <v>1</v>
      </c>
      <c r="C40">
        <v>3</v>
      </c>
      <c r="D40">
        <v>0</v>
      </c>
      <c r="E40">
        <v>0</v>
      </c>
      <c r="F40">
        <v>0</v>
      </c>
      <c r="G40">
        <v>11</v>
      </c>
      <c r="H40">
        <f t="shared" si="3"/>
        <v>15</v>
      </c>
      <c r="I40">
        <v>23</v>
      </c>
      <c r="M40" s="12" t="s">
        <v>0</v>
      </c>
      <c r="N40" s="11">
        <v>18</v>
      </c>
      <c r="O40" s="11">
        <v>356</v>
      </c>
      <c r="P40" s="11">
        <v>0</v>
      </c>
      <c r="Q40" s="11">
        <v>0</v>
      </c>
      <c r="R40" s="11">
        <v>31</v>
      </c>
      <c r="S40" s="11">
        <v>7</v>
      </c>
      <c r="T40" s="11">
        <v>412</v>
      </c>
    </row>
    <row r="41" spans="1:20" x14ac:dyDescent="0.3">
      <c r="H41">
        <f>SUM(H34:H40)</f>
        <v>842</v>
      </c>
      <c r="I41">
        <f>SUM(I35:I40)</f>
        <v>922</v>
      </c>
      <c r="M41" s="12" t="s">
        <v>46</v>
      </c>
      <c r="N41" s="11">
        <v>0</v>
      </c>
      <c r="O41" s="11">
        <v>0</v>
      </c>
      <c r="P41" s="11">
        <v>140</v>
      </c>
      <c r="Q41" s="11">
        <v>0</v>
      </c>
      <c r="R41" s="11">
        <v>0</v>
      </c>
      <c r="S41" s="11">
        <v>0</v>
      </c>
      <c r="T41" s="11">
        <v>140</v>
      </c>
    </row>
    <row r="42" spans="1:20" x14ac:dyDescent="0.3">
      <c r="M42" s="12" t="s">
        <v>1</v>
      </c>
      <c r="N42" s="11">
        <v>0</v>
      </c>
      <c r="O42" s="11">
        <v>0</v>
      </c>
      <c r="P42" s="11">
        <v>0</v>
      </c>
      <c r="Q42" s="11">
        <v>8</v>
      </c>
      <c r="R42" s="11">
        <v>1</v>
      </c>
      <c r="S42" s="11">
        <v>0</v>
      </c>
      <c r="T42" s="11">
        <v>9</v>
      </c>
    </row>
    <row r="43" spans="1:20" x14ac:dyDescent="0.3">
      <c r="M43" s="12" t="s">
        <v>47</v>
      </c>
      <c r="N43" s="11">
        <v>26</v>
      </c>
      <c r="O43" s="11">
        <v>28</v>
      </c>
      <c r="P43" s="11">
        <v>0</v>
      </c>
      <c r="Q43" s="11">
        <v>0</v>
      </c>
      <c r="R43" s="11">
        <v>154</v>
      </c>
      <c r="S43" s="11">
        <v>2</v>
      </c>
      <c r="T43" s="11">
        <v>210</v>
      </c>
    </row>
    <row r="44" spans="1:20" x14ac:dyDescent="0.3">
      <c r="M44" s="12" t="s">
        <v>48</v>
      </c>
      <c r="N44" s="11">
        <v>5</v>
      </c>
      <c r="O44" s="11">
        <v>4</v>
      </c>
      <c r="P44" s="11">
        <v>0</v>
      </c>
      <c r="Q44" s="11">
        <v>0</v>
      </c>
      <c r="R44" s="11">
        <v>3</v>
      </c>
      <c r="S44" s="11">
        <v>10</v>
      </c>
      <c r="T44" s="11">
        <v>22</v>
      </c>
    </row>
    <row r="45" spans="1:20" x14ac:dyDescent="0.3">
      <c r="M45" s="12" t="s">
        <v>71</v>
      </c>
      <c r="N45" s="11">
        <v>73</v>
      </c>
      <c r="O45" s="11">
        <v>414</v>
      </c>
      <c r="P45" s="11">
        <v>195</v>
      </c>
      <c r="Q45" s="11">
        <v>17</v>
      </c>
      <c r="R45" s="11">
        <v>200</v>
      </c>
      <c r="S45" s="11">
        <v>23</v>
      </c>
      <c r="T45" s="11"/>
    </row>
  </sheetData>
  <mergeCells count="5">
    <mergeCell ref="M1:T1"/>
    <mergeCell ref="M10:T10"/>
    <mergeCell ref="M19:T19"/>
    <mergeCell ref="M28:T28"/>
    <mergeCell ref="M37:T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791E-0FF0-4BC4-B416-4936A6F5E2A6}">
  <dimension ref="A1:N40"/>
  <sheetViews>
    <sheetView workbookViewId="0">
      <selection activeCell="R29" sqref="R29"/>
    </sheetView>
  </sheetViews>
  <sheetFormatPr defaultRowHeight="14.4" x14ac:dyDescent="0.3"/>
  <cols>
    <col min="1" max="1" width="14.88671875" bestFit="1" customWidth="1"/>
  </cols>
  <sheetData>
    <row r="1" spans="1:14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s="23">
        <v>12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3">
      <c r="A2" t="s">
        <v>45</v>
      </c>
      <c r="B2">
        <v>0.69673232460574397</v>
      </c>
      <c r="C2">
        <v>0.57534246575342396</v>
      </c>
      <c r="D2">
        <v>0.66873925366831299</v>
      </c>
      <c r="E2">
        <v>0.45083401725859001</v>
      </c>
      <c r="F2">
        <v>0.14690937045936101</v>
      </c>
      <c r="G2">
        <v>0.59665958537835995</v>
      </c>
      <c r="H2" s="23"/>
      <c r="I2">
        <v>0.69673232460574397</v>
      </c>
      <c r="J2">
        <v>0.57534246575342396</v>
      </c>
      <c r="K2">
        <v>0.66873925366831299</v>
      </c>
      <c r="L2">
        <v>0.45083401725859001</v>
      </c>
      <c r="M2">
        <v>0.14690937045936101</v>
      </c>
      <c r="N2">
        <v>0.59665958537835995</v>
      </c>
    </row>
    <row r="3" spans="1:14" x14ac:dyDescent="0.3">
      <c r="A3" t="s">
        <v>0</v>
      </c>
      <c r="B3">
        <v>0.86631183349812302</v>
      </c>
      <c r="C3">
        <v>0.90579710144927505</v>
      </c>
      <c r="D3">
        <v>0.89691244774739698</v>
      </c>
      <c r="E3">
        <v>0.63386025175822103</v>
      </c>
      <c r="F3">
        <v>0.14690937045936101</v>
      </c>
      <c r="G3">
        <v>0.77330063924266801</v>
      </c>
      <c r="H3" s="23"/>
      <c r="I3">
        <v>0.86631183349812302</v>
      </c>
      <c r="J3">
        <v>0.90579710144927505</v>
      </c>
      <c r="K3">
        <v>0.89691244774739698</v>
      </c>
      <c r="L3">
        <v>0.63386025175822103</v>
      </c>
      <c r="M3">
        <v>0.14690937045936101</v>
      </c>
      <c r="N3">
        <v>0.77330063924266801</v>
      </c>
    </row>
    <row r="4" spans="1:14" x14ac:dyDescent="0.3">
      <c r="A4" t="s">
        <v>46</v>
      </c>
      <c r="B4">
        <v>0.67530621406305902</v>
      </c>
      <c r="C4">
        <v>0.73846153846153795</v>
      </c>
      <c r="D4">
        <v>0.68822701393962404</v>
      </c>
      <c r="E4">
        <v>0.28522207219636903</v>
      </c>
      <c r="F4">
        <v>0.14690937045936101</v>
      </c>
      <c r="G4">
        <v>0.42354054309773798</v>
      </c>
      <c r="H4" s="23"/>
      <c r="I4">
        <v>0.67530621406305902</v>
      </c>
      <c r="J4">
        <v>0.73846153846153795</v>
      </c>
      <c r="K4">
        <v>0.68822701393962404</v>
      </c>
      <c r="L4">
        <v>0.28522207219636903</v>
      </c>
      <c r="M4">
        <v>0.14690937045936101</v>
      </c>
      <c r="N4">
        <v>0.42354054309773798</v>
      </c>
    </row>
    <row r="5" spans="1:14" x14ac:dyDescent="0.3">
      <c r="A5" t="s">
        <v>1</v>
      </c>
      <c r="B5">
        <v>0.686203543089135</v>
      </c>
      <c r="C5">
        <v>0.64705882352941102</v>
      </c>
      <c r="D5">
        <v>0.68073315293339298</v>
      </c>
      <c r="E5">
        <v>0.51115955084265996</v>
      </c>
      <c r="F5">
        <v>0.14690937045936101</v>
      </c>
      <c r="G5">
        <v>0.49142280524722498</v>
      </c>
      <c r="H5" s="23"/>
      <c r="I5">
        <v>0.686203543089135</v>
      </c>
      <c r="J5">
        <v>0.64705882352941102</v>
      </c>
      <c r="K5">
        <v>0.68073315293339298</v>
      </c>
      <c r="L5">
        <v>0.51115955084265996</v>
      </c>
      <c r="M5">
        <v>0.14690937045936101</v>
      </c>
      <c r="N5">
        <v>0.49142280524722498</v>
      </c>
    </row>
    <row r="6" spans="1:14" x14ac:dyDescent="0.3">
      <c r="A6" t="s">
        <v>47</v>
      </c>
      <c r="B6">
        <v>0.79507633814969203</v>
      </c>
      <c r="C6">
        <v>0.89500000000000002</v>
      </c>
      <c r="D6">
        <v>0.86097770894372205</v>
      </c>
      <c r="E6">
        <v>0.59806576891543195</v>
      </c>
      <c r="F6">
        <v>0.14690937045936101</v>
      </c>
      <c r="G6">
        <v>0.41565594059405903</v>
      </c>
      <c r="H6" s="23"/>
      <c r="I6">
        <v>0.79507633814969203</v>
      </c>
      <c r="J6">
        <v>0.89500000000000002</v>
      </c>
      <c r="K6">
        <v>0.86097770894372205</v>
      </c>
      <c r="L6">
        <v>0.59806576891543195</v>
      </c>
      <c r="M6">
        <v>0.14690937045936101</v>
      </c>
      <c r="N6">
        <v>0.41565594059405903</v>
      </c>
    </row>
    <row r="7" spans="1:14" x14ac:dyDescent="0.3">
      <c r="A7" t="s">
        <v>48</v>
      </c>
      <c r="B7">
        <v>0.76952133065253903</v>
      </c>
      <c r="C7">
        <v>0.72625091096933303</v>
      </c>
      <c r="D7">
        <v>0.73507073567094094</v>
      </c>
      <c r="E7">
        <v>0.53185098471661996</v>
      </c>
      <c r="F7">
        <v>0.14690937045936101</v>
      </c>
      <c r="G7">
        <v>0.48883248730964401</v>
      </c>
      <c r="H7" s="23"/>
      <c r="I7">
        <v>0.76952133065253903</v>
      </c>
      <c r="J7">
        <v>0.72625091096933303</v>
      </c>
      <c r="K7">
        <v>0.73507073567094094</v>
      </c>
      <c r="L7">
        <v>0.53185098471661996</v>
      </c>
      <c r="M7">
        <v>0.14690937045936101</v>
      </c>
      <c r="N7">
        <v>0.48883248730964401</v>
      </c>
    </row>
    <row r="8" spans="1:14" x14ac:dyDescent="0.3">
      <c r="I8">
        <f>AVERAGE(I2:I7)</f>
        <v>0.74819193067638201</v>
      </c>
      <c r="J8">
        <f t="shared" ref="J8:L8" si="0">AVERAGE(J2:J7)</f>
        <v>0.74798514002716343</v>
      </c>
      <c r="K8">
        <f t="shared" si="0"/>
        <v>0.75511005215056493</v>
      </c>
      <c r="L8">
        <f t="shared" si="0"/>
        <v>0.50183210761464858</v>
      </c>
      <c r="N8">
        <f t="shared" ref="N8" si="1">AVERAGE(N2:N7)</f>
        <v>0.53156866681161563</v>
      </c>
    </row>
    <row r="9" spans="1:14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45</v>
      </c>
      <c r="B10">
        <v>0.74025363114419895</v>
      </c>
      <c r="C10">
        <v>0.54658110795958703</v>
      </c>
      <c r="D10">
        <v>0.67552074687531105</v>
      </c>
      <c r="E10">
        <v>0.47443686971123999</v>
      </c>
      <c r="F10">
        <v>0.13459678141185999</v>
      </c>
      <c r="G10">
        <v>0.59294871794871795</v>
      </c>
      <c r="H10" s="4"/>
      <c r="I10">
        <v>0.74025363114419895</v>
      </c>
      <c r="J10">
        <v>0.54658110795958703</v>
      </c>
      <c r="K10">
        <v>0.67552074687531105</v>
      </c>
      <c r="L10">
        <v>0.47443686971123999</v>
      </c>
      <c r="M10">
        <v>0.13459678141185999</v>
      </c>
      <c r="N10">
        <v>0.59294871794871795</v>
      </c>
    </row>
    <row r="11" spans="1:14" x14ac:dyDescent="0.3">
      <c r="A11" t="s">
        <v>0</v>
      </c>
      <c r="B11">
        <v>0.86851188145621205</v>
      </c>
      <c r="C11">
        <v>0.91304347826086896</v>
      </c>
      <c r="D11">
        <v>0.90459602240857695</v>
      </c>
      <c r="E11">
        <v>0.64428164060110904</v>
      </c>
      <c r="F11">
        <v>0.13459678141185999</v>
      </c>
      <c r="G11">
        <v>0.771871067267486</v>
      </c>
      <c r="H11" s="4"/>
      <c r="I11">
        <v>0.86851188145621205</v>
      </c>
      <c r="J11">
        <v>0.91304347826086896</v>
      </c>
      <c r="K11">
        <v>0.90459602240857695</v>
      </c>
      <c r="L11">
        <v>0.64428164060110904</v>
      </c>
      <c r="M11">
        <v>0.13459678141185999</v>
      </c>
      <c r="N11">
        <v>0.771871067267486</v>
      </c>
    </row>
    <row r="12" spans="1:14" x14ac:dyDescent="0.3">
      <c r="A12" t="s">
        <v>46</v>
      </c>
      <c r="B12">
        <v>0.71173644077486697</v>
      </c>
      <c r="C12">
        <v>0.63309644514923502</v>
      </c>
      <c r="D12">
        <v>0.67298634342561603</v>
      </c>
      <c r="E12">
        <v>0.266967462884943</v>
      </c>
      <c r="F12">
        <v>0.13459678141185999</v>
      </c>
      <c r="G12">
        <v>0.42086562086562002</v>
      </c>
      <c r="H12" s="4"/>
      <c r="I12">
        <v>0.71173644077486697</v>
      </c>
      <c r="J12">
        <v>0.63309644514923502</v>
      </c>
      <c r="K12">
        <v>0.67298634342561603</v>
      </c>
      <c r="L12">
        <v>0.266967462884943</v>
      </c>
      <c r="M12">
        <v>0.13459678141185999</v>
      </c>
      <c r="N12">
        <v>0.42086562086562002</v>
      </c>
    </row>
    <row r="13" spans="1:14" x14ac:dyDescent="0.3">
      <c r="A13" t="s">
        <v>1</v>
      </c>
      <c r="B13">
        <v>0.80925716902645495</v>
      </c>
      <c r="C13">
        <v>0.82352941176470495</v>
      </c>
      <c r="D13">
        <v>0.82998434535104304</v>
      </c>
      <c r="E13">
        <v>0.61159696807889796</v>
      </c>
      <c r="F13">
        <v>0.13459678141185999</v>
      </c>
      <c r="G13">
        <v>0.52170303605313095</v>
      </c>
      <c r="H13" s="4"/>
      <c r="I13">
        <v>0.80925716902645495</v>
      </c>
      <c r="J13">
        <v>0.82352941176470495</v>
      </c>
      <c r="K13">
        <v>0.82998434535104304</v>
      </c>
      <c r="L13">
        <v>0.61159696807889796</v>
      </c>
      <c r="M13">
        <v>0.13459678141185999</v>
      </c>
      <c r="N13">
        <v>0.52170303605313095</v>
      </c>
    </row>
    <row r="14" spans="1:14" x14ac:dyDescent="0.3">
      <c r="A14" t="s">
        <v>47</v>
      </c>
      <c r="B14">
        <v>0.80948066242304895</v>
      </c>
      <c r="C14">
        <v>0.88</v>
      </c>
      <c r="D14">
        <v>0.86236873800712599</v>
      </c>
      <c r="E14">
        <v>0.60199945357213502</v>
      </c>
      <c r="F14">
        <v>0.13459678141185999</v>
      </c>
      <c r="G14">
        <v>0.409728059332509</v>
      </c>
      <c r="H14" s="4"/>
      <c r="I14">
        <v>0.80948066242304895</v>
      </c>
      <c r="J14">
        <v>0.88</v>
      </c>
      <c r="K14">
        <v>0.86236873800712599</v>
      </c>
      <c r="L14">
        <v>0.60199945357213502</v>
      </c>
      <c r="M14">
        <v>0.13459678141185999</v>
      </c>
      <c r="N14">
        <v>0.409728059332509</v>
      </c>
    </row>
    <row r="15" spans="1:14" x14ac:dyDescent="0.3">
      <c r="A15" t="s">
        <v>48</v>
      </c>
      <c r="B15">
        <v>0.781400297073371</v>
      </c>
      <c r="C15">
        <v>0.78260869565217395</v>
      </c>
      <c r="D15">
        <v>0.80223057040998202</v>
      </c>
      <c r="E15">
        <v>0.53485903610463303</v>
      </c>
      <c r="F15">
        <v>0.13459678141185999</v>
      </c>
      <c r="G15">
        <v>0.53172678366699</v>
      </c>
      <c r="H15" s="4"/>
      <c r="I15">
        <v>0.781400297073371</v>
      </c>
      <c r="J15">
        <v>0.78260869565217395</v>
      </c>
      <c r="K15">
        <v>0.80223057040998202</v>
      </c>
      <c r="L15">
        <v>0.53485903610463303</v>
      </c>
      <c r="M15">
        <v>0.13459678141185999</v>
      </c>
      <c r="N15">
        <v>0.53172678366699</v>
      </c>
    </row>
    <row r="16" spans="1:14" x14ac:dyDescent="0.3">
      <c r="I16">
        <f>AVERAGE(I10:I15)</f>
        <v>0.78677334698302559</v>
      </c>
      <c r="J16">
        <f t="shared" ref="J16" si="2">AVERAGE(J10:J15)</f>
        <v>0.76314318979776152</v>
      </c>
      <c r="K16">
        <f t="shared" ref="K16" si="3">AVERAGE(K10:K15)</f>
        <v>0.7912811277462759</v>
      </c>
      <c r="L16">
        <f t="shared" ref="L16" si="4">AVERAGE(L10:L15)</f>
        <v>0.52235690515882638</v>
      </c>
      <c r="N16">
        <f t="shared" ref="N16" si="5">AVERAGE(N10:N15)</f>
        <v>0.54147388085574233</v>
      </c>
    </row>
    <row r="17" spans="1:14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</row>
    <row r="18" spans="1:14" x14ac:dyDescent="0.3">
      <c r="A18" t="s">
        <v>45</v>
      </c>
      <c r="B18">
        <v>0.75976629571234999</v>
      </c>
      <c r="C18">
        <v>0.51989432020006798</v>
      </c>
      <c r="D18">
        <v>0.68070390833163197</v>
      </c>
      <c r="E18">
        <v>0.48217147600167098</v>
      </c>
      <c r="F18">
        <v>0.180772086734311</v>
      </c>
      <c r="G18">
        <v>0.58744685876239899</v>
      </c>
      <c r="H18" s="8"/>
      <c r="I18">
        <v>0.75976629571234999</v>
      </c>
      <c r="J18">
        <v>0.51989432020006798</v>
      </c>
      <c r="K18">
        <v>0.68070390833163197</v>
      </c>
      <c r="L18">
        <v>0.48217147600167098</v>
      </c>
      <c r="M18">
        <v>0.180772086734311</v>
      </c>
      <c r="N18">
        <v>0.58744685876239899</v>
      </c>
    </row>
    <row r="19" spans="1:14" x14ac:dyDescent="0.3">
      <c r="A19" t="s">
        <v>0</v>
      </c>
      <c r="B19">
        <v>0.87825350711922001</v>
      </c>
      <c r="C19">
        <v>0.88865566656600103</v>
      </c>
      <c r="D19">
        <v>0.88405445820787898</v>
      </c>
      <c r="E19">
        <v>0.63019923824829105</v>
      </c>
      <c r="F19">
        <v>0.180772086734311</v>
      </c>
      <c r="G19">
        <v>0.76700079829477597</v>
      </c>
      <c r="H19" s="8"/>
      <c r="I19">
        <v>0.87825350711922001</v>
      </c>
      <c r="J19">
        <v>0.88865566656600103</v>
      </c>
      <c r="K19">
        <v>0.88405445820787898</v>
      </c>
      <c r="L19">
        <v>0.63019923824829105</v>
      </c>
      <c r="M19">
        <v>0.180772086734311</v>
      </c>
      <c r="N19">
        <v>0.76700079829477597</v>
      </c>
    </row>
    <row r="20" spans="1:14" x14ac:dyDescent="0.3">
      <c r="A20" t="s">
        <v>46</v>
      </c>
      <c r="B20">
        <v>0.65189872490568301</v>
      </c>
      <c r="C20">
        <v>0.70256410256410196</v>
      </c>
      <c r="D20">
        <v>0.67285361109098196</v>
      </c>
      <c r="E20">
        <v>0.26928770322183399</v>
      </c>
      <c r="F20">
        <v>0.180772086734311</v>
      </c>
      <c r="G20">
        <v>0.42647451803779302</v>
      </c>
      <c r="H20" s="8"/>
      <c r="I20">
        <v>0.65189872490568301</v>
      </c>
      <c r="J20">
        <v>0.70256410256410196</v>
      </c>
      <c r="K20">
        <v>0.67285361109098196</v>
      </c>
      <c r="L20">
        <v>0.26928770322183399</v>
      </c>
      <c r="M20">
        <v>0.180772086734311</v>
      </c>
      <c r="N20">
        <v>0.42647451803779302</v>
      </c>
    </row>
    <row r="21" spans="1:14" x14ac:dyDescent="0.3">
      <c r="A21" t="s">
        <v>1</v>
      </c>
      <c r="B21">
        <v>0.804895882223709</v>
      </c>
      <c r="C21">
        <v>0.94117647058823495</v>
      </c>
      <c r="D21">
        <v>0.91713197700132698</v>
      </c>
      <c r="E21">
        <v>0.64152583219648196</v>
      </c>
      <c r="F21">
        <v>0.180772086734311</v>
      </c>
      <c r="G21">
        <v>0.48932926829268197</v>
      </c>
      <c r="H21" s="8"/>
      <c r="I21">
        <v>0.804895882223709</v>
      </c>
      <c r="J21">
        <v>0.94117647058823495</v>
      </c>
      <c r="K21">
        <v>0.91713197700132698</v>
      </c>
      <c r="L21">
        <v>0.64152583219648196</v>
      </c>
      <c r="M21">
        <v>0.180772086734311</v>
      </c>
      <c r="N21">
        <v>0.48932926829268197</v>
      </c>
    </row>
    <row r="22" spans="1:14" x14ac:dyDescent="0.3">
      <c r="A22" t="s">
        <v>47</v>
      </c>
      <c r="B22">
        <v>0.75882743951656795</v>
      </c>
      <c r="C22">
        <v>0.88500000000000001</v>
      </c>
      <c r="D22">
        <v>0.867763964420321</v>
      </c>
      <c r="E22">
        <v>0.60044197621746997</v>
      </c>
      <c r="F22">
        <v>0.180772086734311</v>
      </c>
      <c r="G22">
        <v>0.42877652933832699</v>
      </c>
      <c r="H22" s="8"/>
      <c r="I22">
        <v>0.75882743951656795</v>
      </c>
      <c r="J22">
        <v>0.88500000000000001</v>
      </c>
      <c r="K22">
        <v>0.867763964420321</v>
      </c>
      <c r="L22">
        <v>0.60044197621746997</v>
      </c>
      <c r="M22">
        <v>0.180772086734311</v>
      </c>
      <c r="N22">
        <v>0.42877652933832699</v>
      </c>
    </row>
    <row r="23" spans="1:14" x14ac:dyDescent="0.3">
      <c r="A23" t="s">
        <v>48</v>
      </c>
      <c r="B23">
        <v>0.67185315646576604</v>
      </c>
      <c r="C23">
        <v>0.62357862290176502</v>
      </c>
      <c r="D23">
        <v>0.72554603832194697</v>
      </c>
      <c r="E23">
        <v>0.51477958565131698</v>
      </c>
      <c r="F23">
        <v>0.180772086734311</v>
      </c>
      <c r="G23">
        <v>0.50786876500400102</v>
      </c>
      <c r="H23" s="8"/>
      <c r="I23">
        <v>0.67185315646576604</v>
      </c>
      <c r="J23">
        <v>0.62357862290176502</v>
      </c>
      <c r="K23">
        <v>0.72554603832194697</v>
      </c>
      <c r="L23">
        <v>0.51477958565131698</v>
      </c>
      <c r="M23">
        <v>0.180772086734311</v>
      </c>
      <c r="N23">
        <v>0.50786876500400102</v>
      </c>
    </row>
    <row r="24" spans="1:14" x14ac:dyDescent="0.3">
      <c r="I24">
        <f>AVERAGE(I18:I23)</f>
        <v>0.75424916765721595</v>
      </c>
      <c r="J24">
        <f t="shared" ref="J24" si="6">AVERAGE(J18:J23)</f>
        <v>0.76014486380336177</v>
      </c>
      <c r="K24">
        <f t="shared" ref="K24" si="7">AVERAGE(K18:K23)</f>
        <v>0.79134232622901468</v>
      </c>
      <c r="L24">
        <f t="shared" ref="L24" si="8">AVERAGE(L18:L23)</f>
        <v>0.5230676352561775</v>
      </c>
      <c r="N24">
        <f t="shared" ref="N24" si="9">AVERAGE(N18:N23)</f>
        <v>0.53448278962166296</v>
      </c>
    </row>
    <row r="25" spans="1:14" x14ac:dyDescent="0.3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s="3"/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</row>
    <row r="26" spans="1:14" x14ac:dyDescent="0.3">
      <c r="A26" t="s">
        <v>45</v>
      </c>
      <c r="B26">
        <v>0.72305467689691605</v>
      </c>
      <c r="C26">
        <v>0.602739726027397</v>
      </c>
      <c r="D26">
        <v>0.74256682721908895</v>
      </c>
      <c r="E26">
        <v>0.51300855116411104</v>
      </c>
      <c r="F26">
        <v>0.178910484905105</v>
      </c>
      <c r="G26">
        <v>0.57251323594107895</v>
      </c>
      <c r="H26" s="3"/>
      <c r="I26">
        <v>0.72305467689691605</v>
      </c>
      <c r="J26">
        <v>0.602739726027397</v>
      </c>
      <c r="K26">
        <v>0.74256682721908895</v>
      </c>
      <c r="L26">
        <v>0.51300855116411104</v>
      </c>
      <c r="M26">
        <v>0.178910484905105</v>
      </c>
      <c r="N26">
        <v>0.57251323594107895</v>
      </c>
    </row>
    <row r="27" spans="1:14" x14ac:dyDescent="0.3">
      <c r="A27" t="s">
        <v>0</v>
      </c>
      <c r="B27">
        <v>0.85973902259047597</v>
      </c>
      <c r="C27">
        <v>0.91795461498172404</v>
      </c>
      <c r="D27">
        <v>0.92524250052119505</v>
      </c>
      <c r="E27">
        <v>0.66762151299245598</v>
      </c>
      <c r="F27">
        <v>0.178910484905105</v>
      </c>
      <c r="G27">
        <v>0.75073710179311304</v>
      </c>
      <c r="H27" s="3"/>
      <c r="I27">
        <v>0.85973902259047597</v>
      </c>
      <c r="J27">
        <v>0.91795461498172404</v>
      </c>
      <c r="K27">
        <v>0.92524250052119505</v>
      </c>
      <c r="L27">
        <v>0.66762151299245598</v>
      </c>
      <c r="M27">
        <v>0.178910484905105</v>
      </c>
      <c r="N27">
        <v>0.75073710179311304</v>
      </c>
    </row>
    <row r="28" spans="1:14" x14ac:dyDescent="0.3">
      <c r="A28" t="s">
        <v>46</v>
      </c>
      <c r="B28">
        <v>0.70126145756327796</v>
      </c>
      <c r="C28">
        <v>0.66209230913323802</v>
      </c>
      <c r="D28">
        <v>0.67755765764447995</v>
      </c>
      <c r="E28">
        <v>0.29084575075541003</v>
      </c>
      <c r="F28">
        <v>0.178910484905105</v>
      </c>
      <c r="G28">
        <v>0.43713844840605398</v>
      </c>
      <c r="H28" s="3"/>
      <c r="I28">
        <v>0.70126145756327796</v>
      </c>
      <c r="J28">
        <v>0.66209230913323802</v>
      </c>
      <c r="K28">
        <v>0.67755765764447995</v>
      </c>
      <c r="L28">
        <v>0.29084575075541003</v>
      </c>
      <c r="M28">
        <v>0.178910484905105</v>
      </c>
      <c r="N28">
        <v>0.43713844840605398</v>
      </c>
    </row>
    <row r="29" spans="1:14" x14ac:dyDescent="0.3">
      <c r="A29" t="s">
        <v>1</v>
      </c>
      <c r="B29">
        <v>0.95439655462909601</v>
      </c>
      <c r="C29">
        <v>0.58823529411764697</v>
      </c>
      <c r="D29">
        <v>0.75803517744638405</v>
      </c>
      <c r="E29">
        <v>0.57517176255051705</v>
      </c>
      <c r="F29">
        <v>0.178910484905105</v>
      </c>
      <c r="G29">
        <v>0.494264859228362</v>
      </c>
      <c r="H29" s="3"/>
      <c r="I29">
        <v>0.95439655462909601</v>
      </c>
      <c r="J29">
        <v>0.58823529411764697</v>
      </c>
      <c r="K29">
        <v>0.75803517744638405</v>
      </c>
      <c r="L29">
        <v>0.57517176255051705</v>
      </c>
      <c r="M29">
        <v>0.178910484905105</v>
      </c>
      <c r="N29">
        <v>0.494264859228362</v>
      </c>
    </row>
    <row r="30" spans="1:14" x14ac:dyDescent="0.3">
      <c r="A30" t="s">
        <v>47</v>
      </c>
      <c r="B30">
        <v>0.81357720856439897</v>
      </c>
      <c r="C30">
        <v>0.88</v>
      </c>
      <c r="D30">
        <v>0.88754743978851902</v>
      </c>
      <c r="E30">
        <v>0.62914872098555696</v>
      </c>
      <c r="F30">
        <v>0.178910484905105</v>
      </c>
      <c r="G30">
        <v>0.41010309278350499</v>
      </c>
      <c r="H30" s="3"/>
      <c r="I30">
        <v>0.81357720856439897</v>
      </c>
      <c r="J30">
        <v>0.88</v>
      </c>
      <c r="K30">
        <v>0.88754743978851902</v>
      </c>
      <c r="L30">
        <v>0.62914872098555696</v>
      </c>
      <c r="M30">
        <v>0.178910484905105</v>
      </c>
      <c r="N30">
        <v>0.41010309278350499</v>
      </c>
    </row>
    <row r="31" spans="1:14" x14ac:dyDescent="0.3">
      <c r="A31" t="s">
        <v>48</v>
      </c>
      <c r="B31">
        <v>0.803659846755998</v>
      </c>
      <c r="C31">
        <v>0.71236016997303797</v>
      </c>
      <c r="D31">
        <v>0.79629326522786603</v>
      </c>
      <c r="E31">
        <v>0.51762603503510995</v>
      </c>
      <c r="F31">
        <v>0.178910484905105</v>
      </c>
      <c r="G31">
        <v>0.48950682056663097</v>
      </c>
      <c r="H31" s="3"/>
      <c r="I31">
        <v>0.803659846755998</v>
      </c>
      <c r="J31">
        <v>0.71236016997303797</v>
      </c>
      <c r="K31">
        <v>0.79629326522786603</v>
      </c>
      <c r="L31">
        <v>0.51762603503510995</v>
      </c>
      <c r="M31">
        <v>0.178910484905105</v>
      </c>
      <c r="N31">
        <v>0.48950682056663097</v>
      </c>
    </row>
    <row r="32" spans="1:14" x14ac:dyDescent="0.3">
      <c r="I32">
        <f>AVERAGE(I26:I31)</f>
        <v>0.80928146116669397</v>
      </c>
      <c r="J32">
        <f t="shared" ref="J32" si="10">AVERAGE(J26:J31)</f>
        <v>0.72723035237217404</v>
      </c>
      <c r="K32">
        <f t="shared" ref="K32" si="11">AVERAGE(K26:K31)</f>
        <v>0.79787381130792212</v>
      </c>
      <c r="L32">
        <f t="shared" ref="L32" si="12">AVERAGE(L26:L31)</f>
        <v>0.53223705558052681</v>
      </c>
      <c r="N32">
        <f t="shared" ref="N32" si="13">AVERAGE(N26:N31)</f>
        <v>0.52571059311979074</v>
      </c>
    </row>
    <row r="33" spans="1:14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I33" t="s">
        <v>11</v>
      </c>
      <c r="J33" t="s">
        <v>12</v>
      </c>
      <c r="K33" t="s">
        <v>13</v>
      </c>
      <c r="L33" t="s">
        <v>14</v>
      </c>
      <c r="M33" t="s">
        <v>15</v>
      </c>
      <c r="N33" t="s">
        <v>16</v>
      </c>
    </row>
    <row r="34" spans="1:14" x14ac:dyDescent="0.3">
      <c r="A34" t="s">
        <v>45</v>
      </c>
      <c r="B34">
        <v>0.69740225780642895</v>
      </c>
      <c r="C34">
        <v>0.63013698630136905</v>
      </c>
      <c r="D34">
        <v>0.71890419485211399</v>
      </c>
      <c r="E34">
        <v>0.51754420753491803</v>
      </c>
      <c r="F34">
        <v>0.147781056953774</v>
      </c>
      <c r="G34">
        <v>0.60016178293870304</v>
      </c>
      <c r="I34">
        <v>0.69740225780642895</v>
      </c>
      <c r="J34">
        <v>0.63013698630136905</v>
      </c>
      <c r="K34">
        <v>0.71890419485211399</v>
      </c>
      <c r="L34">
        <v>0.51754420753491803</v>
      </c>
      <c r="M34">
        <v>0.147781056953774</v>
      </c>
      <c r="N34">
        <v>0.60016178293870304</v>
      </c>
    </row>
    <row r="35" spans="1:14" x14ac:dyDescent="0.3">
      <c r="A35" t="s">
        <v>0</v>
      </c>
      <c r="B35">
        <v>0.865308423933138</v>
      </c>
      <c r="C35">
        <v>0.91555041229475498</v>
      </c>
      <c r="D35">
        <v>0.92497979200378999</v>
      </c>
      <c r="E35">
        <v>0.67132530860649897</v>
      </c>
      <c r="F35">
        <v>0.147781056953774</v>
      </c>
      <c r="G35">
        <v>0.76486896669659199</v>
      </c>
      <c r="I35">
        <v>0.865308423933138</v>
      </c>
      <c r="J35">
        <v>0.91555041229475498</v>
      </c>
      <c r="K35">
        <v>0.92497979200378999</v>
      </c>
      <c r="L35">
        <v>0.67132530860649897</v>
      </c>
      <c r="M35">
        <v>0.147781056953774</v>
      </c>
      <c r="N35">
        <v>0.76486896669659199</v>
      </c>
    </row>
    <row r="36" spans="1:14" x14ac:dyDescent="0.3">
      <c r="A36" t="s">
        <v>46</v>
      </c>
      <c r="B36">
        <v>0.759139745727758</v>
      </c>
      <c r="C36">
        <v>0.74349848076481195</v>
      </c>
      <c r="D36">
        <v>0.72432141469641098</v>
      </c>
      <c r="E36">
        <v>0.30474037079667399</v>
      </c>
      <c r="F36">
        <v>0.147781056953774</v>
      </c>
      <c r="G36">
        <v>0.45317896389324902</v>
      </c>
      <c r="I36">
        <v>0.759139745727758</v>
      </c>
      <c r="J36">
        <v>0.74349848076481195</v>
      </c>
      <c r="K36">
        <v>0.72432141469641098</v>
      </c>
      <c r="L36">
        <v>0.30474037079667399</v>
      </c>
      <c r="M36">
        <v>0.147781056953774</v>
      </c>
      <c r="N36">
        <v>0.45317896389324902</v>
      </c>
    </row>
    <row r="37" spans="1:14" x14ac:dyDescent="0.3">
      <c r="A37" t="s">
        <v>1</v>
      </c>
      <c r="B37">
        <v>0.87966404965790401</v>
      </c>
      <c r="C37">
        <v>0.76470588235294101</v>
      </c>
      <c r="D37">
        <v>0.88829004329004302</v>
      </c>
      <c r="E37">
        <v>0.66391108585858505</v>
      </c>
      <c r="F37">
        <v>0.147781056953774</v>
      </c>
      <c r="G37">
        <v>0.49272349272349197</v>
      </c>
      <c r="I37">
        <v>0.87966404965790401</v>
      </c>
      <c r="J37">
        <v>0.76470588235294101</v>
      </c>
      <c r="K37">
        <v>0.88829004329004302</v>
      </c>
      <c r="L37">
        <v>0.66391108585858505</v>
      </c>
      <c r="M37">
        <v>0.147781056953774</v>
      </c>
      <c r="N37">
        <v>0.49272349272349197</v>
      </c>
    </row>
    <row r="38" spans="1:14" x14ac:dyDescent="0.3">
      <c r="A38" t="s">
        <v>47</v>
      </c>
      <c r="B38">
        <v>0.81628662900631999</v>
      </c>
      <c r="C38">
        <v>0.90500000000000003</v>
      </c>
      <c r="D38">
        <v>0.88673514573812595</v>
      </c>
      <c r="E38">
        <v>0.61757025637480001</v>
      </c>
      <c r="F38">
        <v>0.147781056953774</v>
      </c>
      <c r="G38">
        <v>0.41057124518613602</v>
      </c>
      <c r="I38">
        <v>0.81628662900631999</v>
      </c>
      <c r="J38">
        <v>0.90500000000000003</v>
      </c>
      <c r="K38">
        <v>0.88673514573812595</v>
      </c>
      <c r="L38">
        <v>0.61757025637480001</v>
      </c>
      <c r="M38">
        <v>0.147781056953774</v>
      </c>
      <c r="N38">
        <v>0.41057124518613602</v>
      </c>
    </row>
    <row r="39" spans="1:14" x14ac:dyDescent="0.3">
      <c r="A39" t="s">
        <v>48</v>
      </c>
      <c r="B39">
        <v>0.74261794882255405</v>
      </c>
      <c r="C39">
        <v>0.56521739130434701</v>
      </c>
      <c r="D39">
        <v>0.80214764819098605</v>
      </c>
      <c r="E39">
        <v>0.57701178507998596</v>
      </c>
      <c r="F39">
        <v>0.147781056953774</v>
      </c>
      <c r="G39">
        <v>0.51264325995997795</v>
      </c>
      <c r="I39">
        <v>0.74261794882255405</v>
      </c>
      <c r="J39">
        <v>0.56521739130434701</v>
      </c>
      <c r="K39">
        <v>0.80214764819098605</v>
      </c>
      <c r="L39">
        <v>0.57701178507998596</v>
      </c>
      <c r="M39">
        <v>0.147781056953774</v>
      </c>
      <c r="N39">
        <v>0.51264325995997795</v>
      </c>
    </row>
    <row r="40" spans="1:14" x14ac:dyDescent="0.3">
      <c r="I40">
        <f>AVERAGE(I34:I39)</f>
        <v>0.79340317582568387</v>
      </c>
      <c r="J40">
        <f t="shared" ref="J40" si="14">AVERAGE(J34:J39)</f>
        <v>0.754018192169704</v>
      </c>
      <c r="K40">
        <f t="shared" ref="K40" si="15">AVERAGE(K34:K39)</f>
        <v>0.82422970646191163</v>
      </c>
      <c r="L40">
        <f t="shared" ref="L40" si="16">AVERAGE(L34:L39)</f>
        <v>0.55868383570857705</v>
      </c>
      <c r="N40">
        <f t="shared" ref="N40" si="17">AVERAGE(N34:N39)</f>
        <v>0.53902461856635842</v>
      </c>
    </row>
  </sheetData>
  <mergeCells count="1">
    <mergeCell ref="H1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AD96-6F2C-4009-A98C-ED890326DA15}">
  <dimension ref="A1:J8"/>
  <sheetViews>
    <sheetView workbookViewId="0">
      <selection activeCell="H8" sqref="H8"/>
    </sheetView>
  </sheetViews>
  <sheetFormatPr defaultRowHeight="14.4" x14ac:dyDescent="0.3"/>
  <sheetData>
    <row r="1" spans="1:10" ht="57.6" x14ac:dyDescent="0.3">
      <c r="A1" s="10" t="s">
        <v>104</v>
      </c>
      <c r="B1" s="10" t="s">
        <v>105</v>
      </c>
      <c r="C1" s="10" t="s">
        <v>106</v>
      </c>
      <c r="D1" s="10" t="s">
        <v>107</v>
      </c>
      <c r="E1" s="10" t="s">
        <v>108</v>
      </c>
      <c r="F1" s="10" t="s">
        <v>109</v>
      </c>
      <c r="G1" s="10" t="s">
        <v>110</v>
      </c>
      <c r="H1" s="10" t="s">
        <v>111</v>
      </c>
      <c r="I1" s="10" t="s">
        <v>112</v>
      </c>
      <c r="J1" s="10" t="s">
        <v>113</v>
      </c>
    </row>
    <row r="2" spans="1:10" ht="28.8" x14ac:dyDescent="0.3">
      <c r="A2" s="12" t="s">
        <v>114</v>
      </c>
      <c r="B2" s="11" t="s">
        <v>115</v>
      </c>
      <c r="C2" s="11" t="s">
        <v>115</v>
      </c>
      <c r="D2" s="11" t="s">
        <v>115</v>
      </c>
      <c r="E2" s="11" t="s">
        <v>115</v>
      </c>
      <c r="F2" s="11" t="s">
        <v>115</v>
      </c>
      <c r="G2" s="12">
        <v>84.9</v>
      </c>
      <c r="H2" s="12">
        <v>0.83299999999999996</v>
      </c>
      <c r="I2" s="11">
        <v>6</v>
      </c>
      <c r="J2" s="11">
        <v>1.1000000000000001</v>
      </c>
    </row>
    <row r="3" spans="1:10" ht="57.6" x14ac:dyDescent="0.3">
      <c r="A3" s="11" t="s">
        <v>116</v>
      </c>
      <c r="B3" s="11" t="s">
        <v>115</v>
      </c>
      <c r="C3" s="11" t="s">
        <v>115</v>
      </c>
      <c r="D3" s="11" t="s">
        <v>117</v>
      </c>
      <c r="E3" s="11" t="s">
        <v>115</v>
      </c>
      <c r="F3" s="11" t="s">
        <v>115</v>
      </c>
      <c r="G3" s="11">
        <v>82.13</v>
      </c>
      <c r="H3" s="11">
        <v>0.80100000000000005</v>
      </c>
      <c r="I3" s="11">
        <v>5.8</v>
      </c>
      <c r="J3" s="11">
        <v>1.05</v>
      </c>
    </row>
    <row r="4" spans="1:10" ht="28.8" x14ac:dyDescent="0.3">
      <c r="A4" s="11" t="s">
        <v>118</v>
      </c>
      <c r="B4" s="11" t="s">
        <v>115</v>
      </c>
      <c r="C4" s="11" t="s">
        <v>117</v>
      </c>
      <c r="D4" s="11" t="s">
        <v>115</v>
      </c>
      <c r="E4" s="11" t="s">
        <v>115</v>
      </c>
      <c r="F4" s="11" t="s">
        <v>115</v>
      </c>
      <c r="G4" s="11">
        <v>81.47</v>
      </c>
      <c r="H4" s="11">
        <v>0.79500000000000004</v>
      </c>
      <c r="I4" s="11">
        <v>5.6</v>
      </c>
      <c r="J4" s="11">
        <v>0.98</v>
      </c>
    </row>
    <row r="5" spans="1:10" ht="57.6" x14ac:dyDescent="0.3">
      <c r="A5" s="11" t="s">
        <v>119</v>
      </c>
      <c r="B5" s="11" t="s">
        <v>115</v>
      </c>
      <c r="C5" s="11" t="s">
        <v>115</v>
      </c>
      <c r="D5" s="11" t="s">
        <v>115</v>
      </c>
      <c r="E5" s="11" t="s">
        <v>117</v>
      </c>
      <c r="F5" s="11" t="s">
        <v>115</v>
      </c>
      <c r="G5" s="11">
        <v>81.09</v>
      </c>
      <c r="H5" s="11">
        <v>0.78300000000000003</v>
      </c>
      <c r="I5" s="11">
        <v>5.7</v>
      </c>
      <c r="J5" s="11">
        <v>1</v>
      </c>
    </row>
    <row r="6" spans="1:10" ht="28.8" x14ac:dyDescent="0.3">
      <c r="A6" s="11" t="s">
        <v>120</v>
      </c>
      <c r="B6" s="11" t="s">
        <v>115</v>
      </c>
      <c r="C6" s="11" t="s">
        <v>115</v>
      </c>
      <c r="D6" s="11" t="s">
        <v>115</v>
      </c>
      <c r="E6" s="11" t="s">
        <v>115</v>
      </c>
      <c r="F6" s="11" t="s">
        <v>117</v>
      </c>
      <c r="G6" s="11">
        <v>82.65</v>
      </c>
      <c r="H6" s="11">
        <v>0.80900000000000005</v>
      </c>
      <c r="I6" s="11">
        <v>6</v>
      </c>
      <c r="J6" s="11">
        <v>1.1000000000000001</v>
      </c>
    </row>
    <row r="7" spans="1:10" ht="72" x14ac:dyDescent="0.3">
      <c r="A7" s="11" t="s">
        <v>121</v>
      </c>
      <c r="B7" s="11" t="s">
        <v>115</v>
      </c>
      <c r="C7" s="11" t="s">
        <v>115</v>
      </c>
      <c r="D7" s="11" t="s">
        <v>117</v>
      </c>
      <c r="E7" s="11" t="s">
        <v>117</v>
      </c>
      <c r="F7" s="11" t="s">
        <v>115</v>
      </c>
      <c r="G7" s="11">
        <v>79.819999999999993</v>
      </c>
      <c r="H7" s="11">
        <v>0.76</v>
      </c>
      <c r="I7" s="11">
        <v>5.6</v>
      </c>
      <c r="J7" s="11">
        <v>0.97</v>
      </c>
    </row>
    <row r="8" spans="1:10" ht="43.2" x14ac:dyDescent="0.3">
      <c r="A8" s="12" t="s">
        <v>122</v>
      </c>
      <c r="B8" s="11" t="s">
        <v>115</v>
      </c>
      <c r="C8" s="11" t="s">
        <v>117</v>
      </c>
      <c r="D8" s="11" t="s">
        <v>117</v>
      </c>
      <c r="E8" s="11" t="s">
        <v>117</v>
      </c>
      <c r="F8" s="11" t="s">
        <v>117</v>
      </c>
      <c r="G8" s="11">
        <v>79.790000000000006</v>
      </c>
      <c r="H8" s="11">
        <v>0.77800000000000002</v>
      </c>
      <c r="I8" s="11">
        <v>5.7</v>
      </c>
      <c r="J8" s="11">
        <v>0.94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9C6B-1D2C-4AB3-BC61-E2809D2DFB01}">
  <dimension ref="A1:AA40"/>
  <sheetViews>
    <sheetView topLeftCell="B1" workbookViewId="0">
      <selection activeCell="O32" sqref="O32:AA40"/>
    </sheetView>
  </sheetViews>
  <sheetFormatPr defaultRowHeight="14.4" x14ac:dyDescent="0.3"/>
  <cols>
    <col min="1" max="1" width="14.88671875" bestFit="1" customWidth="1"/>
    <col min="2" max="5" width="12" bestFit="1" customWidth="1"/>
    <col min="6" max="6" width="11" bestFit="1" customWidth="1"/>
    <col min="7" max="7" width="12" bestFit="1" customWidth="1"/>
    <col min="9" max="13" width="12" bestFit="1" customWidth="1"/>
    <col min="15" max="15" width="14.88671875" bestFit="1" customWidth="1"/>
  </cols>
  <sheetData>
    <row r="1" spans="1:13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s="28">
        <v>12</v>
      </c>
      <c r="I1" t="s">
        <v>11</v>
      </c>
      <c r="J1" t="s">
        <v>12</v>
      </c>
      <c r="K1" t="s">
        <v>13</v>
      </c>
      <c r="L1" t="s">
        <v>14</v>
      </c>
      <c r="M1" t="s">
        <v>16</v>
      </c>
    </row>
    <row r="2" spans="1:13" x14ac:dyDescent="0.3">
      <c r="A2" t="s">
        <v>45</v>
      </c>
      <c r="B2">
        <v>0.69673232460574397</v>
      </c>
      <c r="C2">
        <v>0.57534246575342396</v>
      </c>
      <c r="D2">
        <v>0.66873925366831299</v>
      </c>
      <c r="E2">
        <v>0.45083401725859001</v>
      </c>
      <c r="F2">
        <v>0.14690937045936101</v>
      </c>
      <c r="G2">
        <v>0.59665958537835995</v>
      </c>
      <c r="H2" s="28"/>
      <c r="I2">
        <v>0.69673232460574397</v>
      </c>
      <c r="J2">
        <v>0.57534246575342396</v>
      </c>
      <c r="K2">
        <v>0.66873925366831299</v>
      </c>
      <c r="L2">
        <v>0.45083401725859001</v>
      </c>
      <c r="M2">
        <v>0.59665958537835995</v>
      </c>
    </row>
    <row r="3" spans="1:13" x14ac:dyDescent="0.3">
      <c r="A3" t="s">
        <v>0</v>
      </c>
      <c r="B3">
        <v>0.86631183349812302</v>
      </c>
      <c r="C3">
        <v>0.90579710144927505</v>
      </c>
      <c r="D3">
        <v>0.89691244774739698</v>
      </c>
      <c r="E3">
        <v>0.63386025175822103</v>
      </c>
      <c r="F3">
        <v>0.14690937045936101</v>
      </c>
      <c r="G3">
        <v>0.77330063924266801</v>
      </c>
      <c r="H3" s="28"/>
      <c r="I3">
        <v>0.86631183349812302</v>
      </c>
      <c r="J3">
        <v>0.90579710144927505</v>
      </c>
      <c r="K3">
        <v>0.89691244774739698</v>
      </c>
      <c r="L3">
        <v>0.63386025175822103</v>
      </c>
      <c r="M3">
        <v>0.77330063924266801</v>
      </c>
    </row>
    <row r="4" spans="1:13" x14ac:dyDescent="0.3">
      <c r="A4" t="s">
        <v>46</v>
      </c>
      <c r="B4">
        <v>0.67530621406305902</v>
      </c>
      <c r="C4">
        <v>0.73846153846153795</v>
      </c>
      <c r="D4">
        <v>0.68822701393962404</v>
      </c>
      <c r="E4">
        <v>0.28522207219636903</v>
      </c>
      <c r="F4">
        <v>0.14690937045936101</v>
      </c>
      <c r="G4">
        <v>0.42354054309773798</v>
      </c>
      <c r="H4" s="28"/>
      <c r="I4">
        <v>0.67530621406305902</v>
      </c>
      <c r="J4">
        <v>0.73846153846153795</v>
      </c>
      <c r="K4">
        <v>0.68822701393962404</v>
      </c>
      <c r="L4">
        <v>0.28522207219636903</v>
      </c>
      <c r="M4">
        <v>0.42354054309773798</v>
      </c>
    </row>
    <row r="5" spans="1:13" x14ac:dyDescent="0.3">
      <c r="A5" t="s">
        <v>1</v>
      </c>
      <c r="B5">
        <v>0.686203543089135</v>
      </c>
      <c r="C5">
        <v>0.64705882352941102</v>
      </c>
      <c r="D5">
        <v>0.68073315293339298</v>
      </c>
      <c r="E5">
        <v>0.51115955084265996</v>
      </c>
      <c r="F5">
        <v>0.14690937045936101</v>
      </c>
      <c r="G5">
        <v>0.49142280524722498</v>
      </c>
      <c r="H5" s="28"/>
      <c r="I5">
        <v>0.686203543089135</v>
      </c>
      <c r="J5">
        <v>0.64705882352941102</v>
      </c>
      <c r="K5">
        <v>0.68073315293339298</v>
      </c>
      <c r="L5">
        <v>0.51115955084265996</v>
      </c>
      <c r="M5">
        <v>0.49142280524722498</v>
      </c>
    </row>
    <row r="6" spans="1:13" x14ac:dyDescent="0.3">
      <c r="A6" t="s">
        <v>47</v>
      </c>
      <c r="B6">
        <v>0.79507633814969203</v>
      </c>
      <c r="C6">
        <v>0.89500000000000002</v>
      </c>
      <c r="D6">
        <v>0.86097770894372205</v>
      </c>
      <c r="E6">
        <v>0.59806576891543195</v>
      </c>
      <c r="F6">
        <v>0.14690937045936101</v>
      </c>
      <c r="G6">
        <v>0.41565594059405903</v>
      </c>
      <c r="H6" s="28"/>
      <c r="I6">
        <v>0.79507633814969203</v>
      </c>
      <c r="J6">
        <v>0.89500000000000002</v>
      </c>
      <c r="K6">
        <v>0.86097770894372205</v>
      </c>
      <c r="L6">
        <v>0.59806576891543195</v>
      </c>
      <c r="M6">
        <v>0.41565594059405903</v>
      </c>
    </row>
    <row r="7" spans="1:13" x14ac:dyDescent="0.3">
      <c r="A7" t="s">
        <v>48</v>
      </c>
      <c r="B7">
        <v>0.76952133065253903</v>
      </c>
      <c r="C7">
        <v>0.72625091096933303</v>
      </c>
      <c r="D7">
        <v>0.73507073567094094</v>
      </c>
      <c r="E7">
        <v>0.53185098471661996</v>
      </c>
      <c r="F7">
        <v>0.14690937045936101</v>
      </c>
      <c r="G7">
        <v>0.48883248730964401</v>
      </c>
      <c r="H7" s="28"/>
      <c r="I7">
        <v>0.76952133065253903</v>
      </c>
      <c r="J7">
        <v>0.72625091096933303</v>
      </c>
      <c r="K7">
        <v>0.73507073567094094</v>
      </c>
      <c r="L7">
        <v>0.53185098471661996</v>
      </c>
      <c r="M7">
        <v>0.48883248730964401</v>
      </c>
    </row>
    <row r="8" spans="1:13" x14ac:dyDescent="0.3">
      <c r="I8">
        <f>AVERAGE(I2:I7)</f>
        <v>0.74819193067638201</v>
      </c>
      <c r="J8">
        <f t="shared" ref="J8:M8" si="0">AVERAGE(J2:J7)</f>
        <v>0.74798514002716343</v>
      </c>
      <c r="K8">
        <f t="shared" si="0"/>
        <v>0.75511005215056493</v>
      </c>
      <c r="L8">
        <f t="shared" si="0"/>
        <v>0.50183210761464858</v>
      </c>
      <c r="M8">
        <f t="shared" si="0"/>
        <v>0.53156866681161563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I9" t="s">
        <v>11</v>
      </c>
      <c r="J9" t="s">
        <v>12</v>
      </c>
      <c r="K9" t="s">
        <v>13</v>
      </c>
      <c r="L9" t="s">
        <v>14</v>
      </c>
      <c r="M9" t="s">
        <v>16</v>
      </c>
    </row>
    <row r="10" spans="1:13" x14ac:dyDescent="0.3">
      <c r="A10" t="s">
        <v>45</v>
      </c>
      <c r="B10" s="7">
        <v>0.74025363114419895</v>
      </c>
      <c r="C10" s="7">
        <v>0.54658110795958703</v>
      </c>
      <c r="D10" s="7">
        <v>0.67552074687531105</v>
      </c>
      <c r="E10" s="7">
        <v>0.47443686971123999</v>
      </c>
      <c r="F10" s="7">
        <v>0.13459678141185999</v>
      </c>
      <c r="G10">
        <v>0.59294871794871795</v>
      </c>
      <c r="H10" s="4"/>
      <c r="I10" s="7">
        <v>0.74025363114419895</v>
      </c>
      <c r="J10" s="7">
        <v>0.54658110795958703</v>
      </c>
      <c r="K10" s="7">
        <v>0.67552074687531105</v>
      </c>
      <c r="L10" s="7">
        <v>0.47443686971123999</v>
      </c>
      <c r="M10">
        <v>0.59294871794871795</v>
      </c>
    </row>
    <row r="11" spans="1:13" x14ac:dyDescent="0.3">
      <c r="A11" t="s">
        <v>0</v>
      </c>
      <c r="B11" s="7">
        <v>0.86851188145621205</v>
      </c>
      <c r="C11" s="7">
        <v>0.91304347826086896</v>
      </c>
      <c r="D11" s="7">
        <v>0.90459602240857695</v>
      </c>
      <c r="E11" s="7">
        <v>0.64428164060110904</v>
      </c>
      <c r="F11" s="7">
        <v>0.13459678141185999</v>
      </c>
      <c r="G11" s="7">
        <v>0.771871067267486</v>
      </c>
      <c r="H11" s="4"/>
      <c r="I11" s="7">
        <v>0.86851188145621205</v>
      </c>
      <c r="J11" s="7">
        <v>0.91304347826086896</v>
      </c>
      <c r="K11" s="7">
        <v>0.90459602240857695</v>
      </c>
      <c r="L11" s="7">
        <v>0.64428164060110904</v>
      </c>
      <c r="M11" s="7">
        <v>0.771871067267486</v>
      </c>
    </row>
    <row r="12" spans="1:13" x14ac:dyDescent="0.3">
      <c r="A12" t="s">
        <v>46</v>
      </c>
      <c r="B12" s="7">
        <v>0.71173644077486697</v>
      </c>
      <c r="C12" s="7">
        <v>0.63309644514923502</v>
      </c>
      <c r="D12" s="7">
        <v>0.67298634342561603</v>
      </c>
      <c r="E12" s="7">
        <v>0.266967462884943</v>
      </c>
      <c r="F12" s="7">
        <v>0.13459678141185999</v>
      </c>
      <c r="G12" s="7">
        <v>0.42086562086562002</v>
      </c>
      <c r="H12" s="4"/>
      <c r="I12" s="7">
        <v>0.71173644077486697</v>
      </c>
      <c r="J12" s="7">
        <v>0.63309644514923502</v>
      </c>
      <c r="K12" s="7">
        <v>0.67298634342561603</v>
      </c>
      <c r="L12" s="7">
        <v>0.266967462884943</v>
      </c>
      <c r="M12" s="7">
        <v>0.42086562086562002</v>
      </c>
    </row>
    <row r="13" spans="1:13" x14ac:dyDescent="0.3">
      <c r="A13" t="s">
        <v>1</v>
      </c>
      <c r="B13" s="7">
        <v>0.80925716902645495</v>
      </c>
      <c r="C13" s="7">
        <v>0.82352941176470495</v>
      </c>
      <c r="D13" s="7">
        <v>0.82998434535104304</v>
      </c>
      <c r="E13" s="7">
        <v>0.61159696807889796</v>
      </c>
      <c r="F13" s="7">
        <v>0.13459678141185999</v>
      </c>
      <c r="G13">
        <v>0.52170303605313095</v>
      </c>
      <c r="H13" s="4"/>
      <c r="I13" s="7">
        <v>0.80925716902645495</v>
      </c>
      <c r="J13" s="7">
        <v>0.82352941176470495</v>
      </c>
      <c r="K13" s="7">
        <v>0.82998434535104304</v>
      </c>
      <c r="L13" s="7">
        <v>0.61159696807889796</v>
      </c>
      <c r="M13">
        <v>0.52170303605313095</v>
      </c>
    </row>
    <row r="14" spans="1:13" x14ac:dyDescent="0.3">
      <c r="A14" t="s">
        <v>47</v>
      </c>
      <c r="B14" s="7">
        <v>0.80948066242304895</v>
      </c>
      <c r="C14">
        <v>0.88</v>
      </c>
      <c r="D14" s="7">
        <v>0.86236873800712599</v>
      </c>
      <c r="E14" s="7">
        <v>0.60199945357213502</v>
      </c>
      <c r="F14" s="7">
        <v>0.13459678141185999</v>
      </c>
      <c r="G14" s="7">
        <v>0.409728059332509</v>
      </c>
      <c r="H14" s="4"/>
      <c r="I14" s="7">
        <v>0.80948066242304895</v>
      </c>
      <c r="J14">
        <v>0.88</v>
      </c>
      <c r="K14" s="7">
        <v>0.86236873800712599</v>
      </c>
      <c r="L14" s="7">
        <v>0.60199945357213502</v>
      </c>
      <c r="M14" s="7">
        <v>0.409728059332509</v>
      </c>
    </row>
    <row r="15" spans="1:13" x14ac:dyDescent="0.3">
      <c r="A15" t="s">
        <v>48</v>
      </c>
      <c r="B15" s="7">
        <v>0.781400297073371</v>
      </c>
      <c r="C15">
        <v>0.78260869565217395</v>
      </c>
      <c r="D15" s="7">
        <v>0.80223057040998202</v>
      </c>
      <c r="E15" s="7">
        <v>0.53485903610463303</v>
      </c>
      <c r="F15" s="7">
        <v>0.13459678141185999</v>
      </c>
      <c r="G15">
        <v>0.53172678366699</v>
      </c>
      <c r="H15" s="4"/>
      <c r="I15" s="7">
        <v>0.781400297073371</v>
      </c>
      <c r="J15">
        <v>0.78260869565217395</v>
      </c>
      <c r="K15" s="7">
        <v>0.80223057040998202</v>
      </c>
      <c r="L15" s="7">
        <v>0.53485903610463303</v>
      </c>
      <c r="M15">
        <v>0.53172678366699</v>
      </c>
    </row>
    <row r="16" spans="1:13" x14ac:dyDescent="0.3">
      <c r="I16">
        <f>AVERAGE(I10:I15)</f>
        <v>0.78677334698302559</v>
      </c>
      <c r="J16">
        <f t="shared" ref="J16" si="1">AVERAGE(J10:J15)</f>
        <v>0.76314318979776152</v>
      </c>
      <c r="K16">
        <f t="shared" ref="K16" si="2">AVERAGE(K10:K15)</f>
        <v>0.7912811277462759</v>
      </c>
      <c r="L16">
        <f t="shared" ref="L16" si="3">AVERAGE(L10:L15)</f>
        <v>0.52235690515882638</v>
      </c>
      <c r="M16">
        <f t="shared" ref="M16" si="4">AVERAGE(M10:M15)</f>
        <v>0.54147388085574233</v>
      </c>
    </row>
    <row r="17" spans="1:27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I17" t="s">
        <v>11</v>
      </c>
      <c r="J17" t="s">
        <v>12</v>
      </c>
      <c r="K17" t="s">
        <v>13</v>
      </c>
      <c r="L17" t="s">
        <v>14</v>
      </c>
      <c r="M17" t="s">
        <v>16</v>
      </c>
    </row>
    <row r="18" spans="1:27" x14ac:dyDescent="0.3">
      <c r="A18" t="s">
        <v>45</v>
      </c>
      <c r="B18">
        <v>0.75976629571234999</v>
      </c>
      <c r="C18">
        <v>0.51989432020006798</v>
      </c>
      <c r="D18">
        <v>0.68070390833163197</v>
      </c>
      <c r="E18">
        <v>0.48217147600167098</v>
      </c>
      <c r="F18">
        <v>0.180772086734311</v>
      </c>
      <c r="G18">
        <v>0.58744685876239899</v>
      </c>
      <c r="H18" s="8"/>
      <c r="I18">
        <v>0.75976629571234999</v>
      </c>
      <c r="J18">
        <v>0.51989432020006798</v>
      </c>
      <c r="K18">
        <v>0.68070390833163197</v>
      </c>
      <c r="L18">
        <v>0.48217147600167098</v>
      </c>
      <c r="M18">
        <v>0.58744685876239899</v>
      </c>
    </row>
    <row r="19" spans="1:27" x14ac:dyDescent="0.3">
      <c r="A19" t="s">
        <v>0</v>
      </c>
      <c r="B19">
        <v>0.87825350711922001</v>
      </c>
      <c r="C19">
        <v>0.88865566656600103</v>
      </c>
      <c r="D19">
        <v>0.88405445820787898</v>
      </c>
      <c r="E19">
        <v>0.63019923824829105</v>
      </c>
      <c r="F19">
        <v>0.180772086734311</v>
      </c>
      <c r="G19">
        <v>0.76700079829477597</v>
      </c>
      <c r="H19" s="8"/>
      <c r="I19">
        <v>0.87825350711922001</v>
      </c>
      <c r="J19">
        <v>0.88865566656600103</v>
      </c>
      <c r="K19">
        <v>0.88405445820787898</v>
      </c>
      <c r="L19">
        <v>0.63019923824829105</v>
      </c>
      <c r="M19">
        <v>0.76700079829477597</v>
      </c>
    </row>
    <row r="20" spans="1:27" x14ac:dyDescent="0.3">
      <c r="A20" t="s">
        <v>46</v>
      </c>
      <c r="B20">
        <v>0.65189872490568301</v>
      </c>
      <c r="C20">
        <v>0.70256410256410196</v>
      </c>
      <c r="D20">
        <v>0.67285361109098196</v>
      </c>
      <c r="E20">
        <v>0.26928770322183399</v>
      </c>
      <c r="F20">
        <v>0.180772086734311</v>
      </c>
      <c r="G20">
        <v>0.42647451803779302</v>
      </c>
      <c r="H20" s="8"/>
      <c r="I20">
        <v>0.65189872490568301</v>
      </c>
      <c r="J20">
        <v>0.70256410256410196</v>
      </c>
      <c r="K20">
        <v>0.67285361109098196</v>
      </c>
      <c r="L20">
        <v>0.26928770322183399</v>
      </c>
      <c r="M20">
        <v>0.42647451803779302</v>
      </c>
    </row>
    <row r="21" spans="1:27" x14ac:dyDescent="0.3">
      <c r="A21" t="s">
        <v>1</v>
      </c>
      <c r="B21">
        <v>0.804895882223709</v>
      </c>
      <c r="C21">
        <v>0.94117647058823495</v>
      </c>
      <c r="D21">
        <v>0.91713197700132698</v>
      </c>
      <c r="E21">
        <v>0.64152583219648196</v>
      </c>
      <c r="F21">
        <v>0.180772086734311</v>
      </c>
      <c r="G21">
        <v>0.48932926829268197</v>
      </c>
      <c r="H21" s="8"/>
      <c r="I21">
        <v>0.804895882223709</v>
      </c>
      <c r="J21">
        <v>0.94117647058823495</v>
      </c>
      <c r="K21">
        <v>0.91713197700132698</v>
      </c>
      <c r="L21">
        <v>0.64152583219648196</v>
      </c>
      <c r="M21">
        <v>0.48932926829268197</v>
      </c>
    </row>
    <row r="22" spans="1:27" x14ac:dyDescent="0.3">
      <c r="A22" t="s">
        <v>47</v>
      </c>
      <c r="B22">
        <v>0.75882743951656795</v>
      </c>
      <c r="C22">
        <v>0.88500000000000001</v>
      </c>
      <c r="D22">
        <v>0.867763964420321</v>
      </c>
      <c r="E22">
        <v>0.60044197621746997</v>
      </c>
      <c r="F22">
        <v>0.180772086734311</v>
      </c>
      <c r="G22">
        <v>0.42877652933832699</v>
      </c>
      <c r="H22" s="8"/>
      <c r="I22">
        <v>0.75882743951656795</v>
      </c>
      <c r="J22">
        <v>0.88500000000000001</v>
      </c>
      <c r="K22">
        <v>0.867763964420321</v>
      </c>
      <c r="L22">
        <v>0.60044197621746997</v>
      </c>
      <c r="M22">
        <v>0.42877652933832699</v>
      </c>
    </row>
    <row r="23" spans="1:27" x14ac:dyDescent="0.3">
      <c r="A23" t="s">
        <v>48</v>
      </c>
      <c r="B23">
        <v>0.67185315646576604</v>
      </c>
      <c r="C23">
        <v>0.62357862290176502</v>
      </c>
      <c r="D23">
        <v>0.72554603832194697</v>
      </c>
      <c r="E23">
        <v>0.51477958565131698</v>
      </c>
      <c r="F23">
        <v>0.180772086734311</v>
      </c>
      <c r="G23">
        <v>0.50786876500400102</v>
      </c>
      <c r="H23" s="8"/>
      <c r="I23">
        <v>0.67185315646576604</v>
      </c>
      <c r="J23">
        <v>0.62357862290176502</v>
      </c>
      <c r="K23">
        <v>0.72554603832194697</v>
      </c>
      <c r="L23">
        <v>0.51477958565131698</v>
      </c>
      <c r="M23">
        <v>0.50786876500400102</v>
      </c>
    </row>
    <row r="24" spans="1:27" x14ac:dyDescent="0.3">
      <c r="I24">
        <f>AVERAGE(I18:I23)</f>
        <v>0.75424916765721595</v>
      </c>
      <c r="J24">
        <f t="shared" ref="J24" si="5">AVERAGE(J18:J23)</f>
        <v>0.76014486380336177</v>
      </c>
      <c r="K24">
        <f t="shared" ref="K24" si="6">AVERAGE(K18:K23)</f>
        <v>0.79134232622901468</v>
      </c>
      <c r="L24">
        <f t="shared" ref="L24" si="7">AVERAGE(L18:L23)</f>
        <v>0.5230676352561775</v>
      </c>
      <c r="M24">
        <f t="shared" ref="M24" si="8">AVERAGE(M18:M23)</f>
        <v>0.53448278962166296</v>
      </c>
    </row>
    <row r="25" spans="1:27" x14ac:dyDescent="0.3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s="3"/>
      <c r="I25" t="s">
        <v>11</v>
      </c>
      <c r="J25" t="s">
        <v>12</v>
      </c>
      <c r="K25" t="s">
        <v>13</v>
      </c>
      <c r="L25" t="s">
        <v>14</v>
      </c>
      <c r="M25" t="s">
        <v>16</v>
      </c>
    </row>
    <row r="26" spans="1:27" x14ac:dyDescent="0.3">
      <c r="A26" t="s">
        <v>45</v>
      </c>
      <c r="B26">
        <v>0.72305467689691605</v>
      </c>
      <c r="C26">
        <v>0.602739726027397</v>
      </c>
      <c r="D26">
        <v>0.74256682721908895</v>
      </c>
      <c r="E26">
        <v>0.51300855116411104</v>
      </c>
      <c r="F26">
        <v>0.178910484905105</v>
      </c>
      <c r="G26">
        <v>0.57251323594107895</v>
      </c>
      <c r="H26" s="3"/>
      <c r="I26">
        <v>0.72305467689691605</v>
      </c>
      <c r="J26">
        <v>0.602739726027397</v>
      </c>
      <c r="K26">
        <v>0.74256682721908895</v>
      </c>
      <c r="L26">
        <v>0.51300855116411104</v>
      </c>
      <c r="M26">
        <v>0.57251323594107895</v>
      </c>
    </row>
    <row r="27" spans="1:27" x14ac:dyDescent="0.3">
      <c r="A27" t="s">
        <v>0</v>
      </c>
      <c r="B27">
        <v>0.85973902259047597</v>
      </c>
      <c r="C27">
        <v>0.91795461498172404</v>
      </c>
      <c r="D27">
        <v>0.92524250052119505</v>
      </c>
      <c r="E27">
        <v>0.66762151299245598</v>
      </c>
      <c r="F27">
        <v>0.178910484905105</v>
      </c>
      <c r="G27">
        <v>0.75073710179311304</v>
      </c>
      <c r="H27" s="3"/>
      <c r="I27">
        <v>0.85973902259047597</v>
      </c>
      <c r="J27">
        <v>0.91795461498172404</v>
      </c>
      <c r="K27">
        <v>0.92524250052119505</v>
      </c>
      <c r="L27">
        <v>0.66762151299245598</v>
      </c>
      <c r="M27">
        <v>0.75073710179311304</v>
      </c>
    </row>
    <row r="28" spans="1:27" x14ac:dyDescent="0.3">
      <c r="A28" t="s">
        <v>46</v>
      </c>
      <c r="B28">
        <v>0.70126145756327796</v>
      </c>
      <c r="C28">
        <v>0.66209230913323802</v>
      </c>
      <c r="D28">
        <v>0.67755765764447995</v>
      </c>
      <c r="E28">
        <v>0.29084575075541003</v>
      </c>
      <c r="F28">
        <v>0.178910484905105</v>
      </c>
      <c r="G28">
        <v>0.43713844840605398</v>
      </c>
      <c r="H28" s="3"/>
      <c r="I28">
        <v>0.70126145756327796</v>
      </c>
      <c r="J28">
        <v>0.66209230913323802</v>
      </c>
      <c r="K28">
        <v>0.67755765764447995</v>
      </c>
      <c r="L28">
        <v>0.29084575075541003</v>
      </c>
      <c r="M28">
        <v>0.43713844840605398</v>
      </c>
    </row>
    <row r="29" spans="1:27" x14ac:dyDescent="0.3">
      <c r="A29" t="s">
        <v>1</v>
      </c>
      <c r="B29">
        <v>0.95439655462909601</v>
      </c>
      <c r="C29">
        <v>0.58823529411764697</v>
      </c>
      <c r="D29">
        <v>0.75803517744638405</v>
      </c>
      <c r="E29">
        <v>0.57517176255051705</v>
      </c>
      <c r="F29">
        <v>0.178910484905105</v>
      </c>
      <c r="G29">
        <v>0.494264859228362</v>
      </c>
      <c r="H29" s="3"/>
      <c r="I29">
        <v>0.95439655462909601</v>
      </c>
      <c r="J29">
        <v>0.58823529411764697</v>
      </c>
      <c r="K29">
        <v>0.75803517744638405</v>
      </c>
      <c r="L29">
        <v>0.57517176255051705</v>
      </c>
      <c r="M29">
        <v>0.494264859228362</v>
      </c>
    </row>
    <row r="30" spans="1:27" x14ac:dyDescent="0.3">
      <c r="A30" t="s">
        <v>47</v>
      </c>
      <c r="B30">
        <v>0.81357720856439897</v>
      </c>
      <c r="C30">
        <v>0.88</v>
      </c>
      <c r="D30">
        <v>0.88754743978851902</v>
      </c>
      <c r="E30">
        <v>0.62914872098555696</v>
      </c>
      <c r="F30">
        <v>0.178910484905105</v>
      </c>
      <c r="G30">
        <v>0.41010309278350499</v>
      </c>
      <c r="H30" s="3"/>
      <c r="I30">
        <v>0.81357720856439897</v>
      </c>
      <c r="J30">
        <v>0.88</v>
      </c>
      <c r="K30">
        <v>0.88754743978851902</v>
      </c>
      <c r="L30">
        <v>0.62914872098555696</v>
      </c>
      <c r="M30">
        <v>0.41010309278350499</v>
      </c>
    </row>
    <row r="31" spans="1:27" x14ac:dyDescent="0.3">
      <c r="A31" t="s">
        <v>48</v>
      </c>
      <c r="B31">
        <v>0.803659846755998</v>
      </c>
      <c r="C31">
        <v>0.71236016997303797</v>
      </c>
      <c r="D31">
        <v>0.79629326522786603</v>
      </c>
      <c r="E31">
        <v>0.51762603503510995</v>
      </c>
      <c r="F31">
        <v>0.178910484905105</v>
      </c>
      <c r="G31">
        <v>0.48950682056663097</v>
      </c>
      <c r="H31" s="3"/>
      <c r="I31">
        <v>0.803659846755998</v>
      </c>
      <c r="J31">
        <v>0.71236016997303797</v>
      </c>
      <c r="K31">
        <v>0.79629326522786603</v>
      </c>
      <c r="L31">
        <v>0.51762603503510995</v>
      </c>
      <c r="M31">
        <v>0.48950682056663097</v>
      </c>
    </row>
    <row r="32" spans="1:27" x14ac:dyDescent="0.3">
      <c r="I32">
        <f>AVERAGE(I26:I31)</f>
        <v>0.80928146116669397</v>
      </c>
      <c r="J32">
        <f t="shared" ref="J32" si="9">AVERAGE(J26:J31)</f>
        <v>0.72723035237217404</v>
      </c>
      <c r="K32">
        <f t="shared" ref="K32" si="10">AVERAGE(K26:K31)</f>
        <v>0.79787381130792212</v>
      </c>
      <c r="L32">
        <f t="shared" ref="L32" si="11">AVERAGE(L26:L31)</f>
        <v>0.53223705558052681</v>
      </c>
      <c r="M32">
        <f t="shared" ref="M32" si="12">AVERAGE(M26:M31)</f>
        <v>0.52571059311979074</v>
      </c>
      <c r="P32" s="27" t="s">
        <v>92</v>
      </c>
      <c r="Q32" s="27"/>
      <c r="R32" s="27" t="s">
        <v>44</v>
      </c>
      <c r="S32" s="27"/>
      <c r="T32" s="27" t="s">
        <v>40</v>
      </c>
      <c r="U32" s="27"/>
      <c r="V32" s="27" t="s">
        <v>42</v>
      </c>
      <c r="W32" s="27"/>
      <c r="X32" s="27" t="s">
        <v>41</v>
      </c>
      <c r="Y32" s="27"/>
      <c r="Z32" s="27" t="s">
        <v>43</v>
      </c>
      <c r="AA32" s="27"/>
    </row>
    <row r="33" spans="1:27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I33" t="s">
        <v>11</v>
      </c>
      <c r="J33" t="s">
        <v>12</v>
      </c>
      <c r="K33" t="s">
        <v>13</v>
      </c>
      <c r="L33" t="s">
        <v>14</v>
      </c>
      <c r="M33" t="s">
        <v>16</v>
      </c>
      <c r="P33" t="s">
        <v>13</v>
      </c>
      <c r="Q33" t="s">
        <v>14</v>
      </c>
      <c r="R33" t="s">
        <v>13</v>
      </c>
      <c r="S33" t="s">
        <v>14</v>
      </c>
      <c r="T33" t="s">
        <v>13</v>
      </c>
      <c r="U33" t="s">
        <v>14</v>
      </c>
      <c r="V33" t="s">
        <v>13</v>
      </c>
      <c r="W33" t="s">
        <v>14</v>
      </c>
      <c r="X33" t="s">
        <v>13</v>
      </c>
      <c r="Y33" t="s">
        <v>14</v>
      </c>
      <c r="Z33" t="s">
        <v>13</v>
      </c>
      <c r="AA33" t="s">
        <v>14</v>
      </c>
    </row>
    <row r="34" spans="1:27" x14ac:dyDescent="0.3">
      <c r="A34" t="s">
        <v>45</v>
      </c>
      <c r="B34">
        <v>0.697402258</v>
      </c>
      <c r="C34">
        <v>0.63013698600000001</v>
      </c>
      <c r="D34">
        <v>0.71890419500000002</v>
      </c>
      <c r="E34">
        <v>0.51754420800000001</v>
      </c>
      <c r="F34">
        <v>0.14778105699999999</v>
      </c>
      <c r="G34">
        <v>0.600161783</v>
      </c>
      <c r="I34">
        <v>0.697402258</v>
      </c>
      <c r="J34">
        <v>0.63013698600000001</v>
      </c>
      <c r="K34">
        <v>0.71890419500000002</v>
      </c>
      <c r="L34">
        <v>0.51754420800000001</v>
      </c>
      <c r="M34">
        <v>0.600161783</v>
      </c>
      <c r="O34" t="s">
        <v>45</v>
      </c>
      <c r="P34">
        <v>0.71890419500000002</v>
      </c>
      <c r="Q34">
        <v>0.51754420800000001</v>
      </c>
      <c r="R34">
        <v>0.74256682721908895</v>
      </c>
      <c r="S34">
        <v>0.51300855116411104</v>
      </c>
      <c r="T34">
        <v>0.68070390833163197</v>
      </c>
      <c r="U34">
        <v>0.48217147600167098</v>
      </c>
      <c r="V34" s="7">
        <v>0.67552074687531105</v>
      </c>
      <c r="W34" s="7">
        <v>0.47443686971123999</v>
      </c>
      <c r="X34">
        <v>0.66873925366831299</v>
      </c>
      <c r="Y34">
        <v>0.45083401725859001</v>
      </c>
      <c r="Z34">
        <v>0.66873925366831299</v>
      </c>
      <c r="AA34">
        <v>0.45083401725859001</v>
      </c>
    </row>
    <row r="35" spans="1:27" x14ac:dyDescent="0.3">
      <c r="A35" t="s">
        <v>0</v>
      </c>
      <c r="B35">
        <v>0.86530842399999996</v>
      </c>
      <c r="C35">
        <v>0.91555041199999998</v>
      </c>
      <c r="D35">
        <v>0.92497979200000002</v>
      </c>
      <c r="E35">
        <v>0.67132530899999998</v>
      </c>
      <c r="F35">
        <v>0.14778105699999999</v>
      </c>
      <c r="G35">
        <v>0.76486896699999996</v>
      </c>
      <c r="I35">
        <v>0.86530842399999996</v>
      </c>
      <c r="J35">
        <v>0.91555041199999998</v>
      </c>
      <c r="K35">
        <v>0.92497979200000002</v>
      </c>
      <c r="L35">
        <v>0.67132530899999998</v>
      </c>
      <c r="M35">
        <v>0.76486896699999996</v>
      </c>
      <c r="O35" t="s">
        <v>0</v>
      </c>
      <c r="P35">
        <v>0.92497979200000002</v>
      </c>
      <c r="Q35">
        <v>0.67132530899999998</v>
      </c>
      <c r="R35">
        <v>0.92524250052119505</v>
      </c>
      <c r="S35">
        <v>0.66762151299245598</v>
      </c>
      <c r="T35">
        <v>0.88405445820787898</v>
      </c>
      <c r="U35">
        <v>0.63019923824829105</v>
      </c>
      <c r="V35" s="7">
        <v>0.90459602240857695</v>
      </c>
      <c r="W35" s="7">
        <v>0.64428164060110904</v>
      </c>
      <c r="X35">
        <v>0.89691244774739698</v>
      </c>
      <c r="Y35">
        <v>0.63386025175822103</v>
      </c>
      <c r="Z35">
        <v>0.89691244774739698</v>
      </c>
      <c r="AA35">
        <v>0.63386025175822103</v>
      </c>
    </row>
    <row r="36" spans="1:27" x14ac:dyDescent="0.3">
      <c r="A36" t="s">
        <v>46</v>
      </c>
      <c r="B36">
        <v>0.759139746</v>
      </c>
      <c r="C36">
        <v>0.74349848100000004</v>
      </c>
      <c r="D36">
        <v>0.72432141500000002</v>
      </c>
      <c r="E36">
        <v>0.30474037100000001</v>
      </c>
      <c r="F36">
        <v>0.14778105699999999</v>
      </c>
      <c r="G36">
        <v>0.45317896400000002</v>
      </c>
      <c r="I36">
        <v>0.759139746</v>
      </c>
      <c r="J36">
        <v>0.74349848100000004</v>
      </c>
      <c r="K36">
        <v>0.72432141500000002</v>
      </c>
      <c r="L36">
        <v>0.30474037100000001</v>
      </c>
      <c r="M36">
        <v>0.45317896400000002</v>
      </c>
      <c r="O36" t="s">
        <v>46</v>
      </c>
      <c r="P36">
        <v>0.72432141500000002</v>
      </c>
      <c r="Q36">
        <v>0.30474037100000001</v>
      </c>
      <c r="R36">
        <v>0.67755765764447995</v>
      </c>
      <c r="S36">
        <v>0.29084575075541003</v>
      </c>
      <c r="T36">
        <v>0.67285361109098196</v>
      </c>
      <c r="U36">
        <v>0.26928770322183399</v>
      </c>
      <c r="V36" s="7">
        <v>0.67298634342561603</v>
      </c>
      <c r="W36" s="7">
        <v>0.266967462884943</v>
      </c>
      <c r="X36">
        <v>0.68822701393962404</v>
      </c>
      <c r="Y36">
        <v>0.28522207219636903</v>
      </c>
      <c r="Z36">
        <v>0.68822701393962404</v>
      </c>
      <c r="AA36">
        <v>0.28522207219636903</v>
      </c>
    </row>
    <row r="37" spans="1:27" x14ac:dyDescent="0.3">
      <c r="A37" t="s">
        <v>1</v>
      </c>
      <c r="B37">
        <v>0.87966405000000003</v>
      </c>
      <c r="C37">
        <v>0.764705882</v>
      </c>
      <c r="D37">
        <v>0.88829004300000003</v>
      </c>
      <c r="E37">
        <v>0.66391108600000004</v>
      </c>
      <c r="F37">
        <v>0.14778105699999999</v>
      </c>
      <c r="G37">
        <v>0.49272349300000001</v>
      </c>
      <c r="I37">
        <v>0.87966405000000003</v>
      </c>
      <c r="J37">
        <v>0.764705882</v>
      </c>
      <c r="K37">
        <v>0.88829004300000003</v>
      </c>
      <c r="L37">
        <v>0.66391108600000004</v>
      </c>
      <c r="M37">
        <v>0.49272349300000001</v>
      </c>
      <c r="O37" t="s">
        <v>1</v>
      </c>
      <c r="P37">
        <v>0.88829004300000003</v>
      </c>
      <c r="Q37">
        <v>0.66391108600000004</v>
      </c>
      <c r="R37">
        <v>0.75803517744638405</v>
      </c>
      <c r="S37">
        <v>0.57517176255051705</v>
      </c>
      <c r="T37">
        <v>0.91713197700132698</v>
      </c>
      <c r="U37">
        <v>0.64152583219648196</v>
      </c>
      <c r="V37" s="7">
        <v>0.82998434535104304</v>
      </c>
      <c r="W37" s="7">
        <v>0.61159696807889796</v>
      </c>
      <c r="X37">
        <v>0.68073315293339298</v>
      </c>
      <c r="Y37">
        <v>0.51115955084265996</v>
      </c>
      <c r="Z37">
        <v>0.68073315293339298</v>
      </c>
      <c r="AA37">
        <v>0.51115955084265996</v>
      </c>
    </row>
    <row r="38" spans="1:27" x14ac:dyDescent="0.3">
      <c r="A38" t="s">
        <v>47</v>
      </c>
      <c r="B38">
        <v>0.81628662900000004</v>
      </c>
      <c r="C38">
        <v>0.90500000000000003</v>
      </c>
      <c r="D38">
        <v>0.88673514600000003</v>
      </c>
      <c r="E38">
        <v>0.61757025600000004</v>
      </c>
      <c r="F38">
        <v>0.14778105699999999</v>
      </c>
      <c r="G38">
        <v>0.41057124499999997</v>
      </c>
      <c r="I38">
        <v>0.81628662900000004</v>
      </c>
      <c r="J38">
        <v>0.90500000000000003</v>
      </c>
      <c r="K38">
        <v>0.88673514600000003</v>
      </c>
      <c r="L38">
        <v>0.61757025600000004</v>
      </c>
      <c r="M38">
        <v>0.41057124499999997</v>
      </c>
      <c r="O38" t="s">
        <v>47</v>
      </c>
      <c r="P38">
        <v>0.88673514600000003</v>
      </c>
      <c r="Q38">
        <v>0.61757025600000004</v>
      </c>
      <c r="R38">
        <v>0.88754743978851902</v>
      </c>
      <c r="S38">
        <v>0.62914872098555696</v>
      </c>
      <c r="T38">
        <v>0.867763964420321</v>
      </c>
      <c r="U38">
        <v>0.60044197621746997</v>
      </c>
      <c r="V38" s="7">
        <v>0.86236873800712599</v>
      </c>
      <c r="W38" s="7">
        <v>0.60199945357213502</v>
      </c>
      <c r="X38">
        <v>0.86097770894372205</v>
      </c>
      <c r="Y38">
        <v>0.59806576891543195</v>
      </c>
      <c r="Z38">
        <v>0.86097770894372205</v>
      </c>
      <c r="AA38">
        <v>0.59806576891543195</v>
      </c>
    </row>
    <row r="39" spans="1:27" x14ac:dyDescent="0.3">
      <c r="A39" t="s">
        <v>48</v>
      </c>
      <c r="B39">
        <v>0.742617949</v>
      </c>
      <c r="C39">
        <v>0.56521739100000001</v>
      </c>
      <c r="D39">
        <v>0.80214764800000005</v>
      </c>
      <c r="E39">
        <v>0.57701178500000005</v>
      </c>
      <c r="F39">
        <v>0.14778105699999999</v>
      </c>
      <c r="G39">
        <v>0.51264326000000005</v>
      </c>
      <c r="I39">
        <v>0.742617949</v>
      </c>
      <c r="J39">
        <v>0.56521739100000001</v>
      </c>
      <c r="K39">
        <v>0.80214764800000005</v>
      </c>
      <c r="L39">
        <v>0.57701178500000005</v>
      </c>
      <c r="M39">
        <v>0.51264326000000005</v>
      </c>
      <c r="O39" t="s">
        <v>48</v>
      </c>
      <c r="P39">
        <v>0.80214764800000005</v>
      </c>
      <c r="Q39">
        <v>0.57701178500000005</v>
      </c>
      <c r="R39">
        <v>0.79629326522786603</v>
      </c>
      <c r="S39">
        <v>0.51762603503510995</v>
      </c>
      <c r="T39">
        <v>0.72554603832194697</v>
      </c>
      <c r="U39">
        <v>0.51477958565131698</v>
      </c>
      <c r="V39" s="7">
        <v>0.80223057040998202</v>
      </c>
      <c r="W39" s="7">
        <v>0.53485903610463303</v>
      </c>
      <c r="X39">
        <v>0.73507073567094094</v>
      </c>
      <c r="Y39">
        <v>0.53185098471661996</v>
      </c>
      <c r="Z39">
        <v>0.73507073567094094</v>
      </c>
      <c r="AA39">
        <v>0.53185098471661996</v>
      </c>
    </row>
    <row r="40" spans="1:27" x14ac:dyDescent="0.3">
      <c r="I40">
        <f>AVERAGE(I34:I39)</f>
        <v>0.79340317599999999</v>
      </c>
      <c r="J40">
        <f t="shared" ref="J40" si="13">AVERAGE(J34:J39)</f>
        <v>0.75401819200000009</v>
      </c>
      <c r="K40">
        <f t="shared" ref="K40" si="14">AVERAGE(K34:K39)</f>
        <v>0.82422970650000005</v>
      </c>
      <c r="L40">
        <f t="shared" ref="L40" si="15">AVERAGE(L34:L39)</f>
        <v>0.55868383583333336</v>
      </c>
      <c r="M40">
        <f t="shared" ref="M40" si="16">AVERAGE(M34:M39)</f>
        <v>0.53902461866666662</v>
      </c>
      <c r="O40" t="s">
        <v>96</v>
      </c>
      <c r="P40">
        <f>AVERAGE(P34:P39)</f>
        <v>0.82422970650000005</v>
      </c>
      <c r="Q40">
        <f t="shared" ref="Q40:AA40" si="17">AVERAGE(Q34:Q39)</f>
        <v>0.55868383583333336</v>
      </c>
      <c r="R40">
        <f t="shared" si="17"/>
        <v>0.79787381130792212</v>
      </c>
      <c r="S40">
        <f t="shared" si="17"/>
        <v>0.53223705558052681</v>
      </c>
      <c r="T40">
        <f t="shared" si="17"/>
        <v>0.79134232622901468</v>
      </c>
      <c r="U40">
        <f t="shared" si="17"/>
        <v>0.5230676352561775</v>
      </c>
      <c r="V40">
        <f t="shared" si="17"/>
        <v>0.7912811277462759</v>
      </c>
      <c r="W40">
        <f t="shared" si="17"/>
        <v>0.52235690515882638</v>
      </c>
      <c r="X40">
        <f t="shared" si="17"/>
        <v>0.75511005215056493</v>
      </c>
      <c r="Y40">
        <f t="shared" si="17"/>
        <v>0.50183210761464858</v>
      </c>
      <c r="Z40">
        <f t="shared" si="17"/>
        <v>0.75511005215056493</v>
      </c>
      <c r="AA40">
        <f t="shared" si="17"/>
        <v>0.50183210761464858</v>
      </c>
    </row>
  </sheetData>
  <mergeCells count="7">
    <mergeCell ref="X32:Y32"/>
    <mergeCell ref="Z32:AA32"/>
    <mergeCell ref="H1:H7"/>
    <mergeCell ref="P32:Q32"/>
    <mergeCell ref="R32:S32"/>
    <mergeCell ref="T32:U32"/>
    <mergeCell ref="V32:W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0B62-526D-4C77-86F7-53C844D5A324}">
  <dimension ref="A1:F21"/>
  <sheetViews>
    <sheetView workbookViewId="0">
      <selection activeCell="C22" sqref="C22"/>
    </sheetView>
  </sheetViews>
  <sheetFormatPr defaultRowHeight="14.4" x14ac:dyDescent="0.3"/>
  <cols>
    <col min="1" max="1" width="33.109375" bestFit="1" customWidth="1"/>
    <col min="2" max="2" width="16" bestFit="1" customWidth="1"/>
    <col min="3" max="3" width="29.6640625" bestFit="1" customWidth="1"/>
    <col min="6" max="6" width="109" bestFit="1" customWidth="1"/>
  </cols>
  <sheetData>
    <row r="1" spans="1:6" x14ac:dyDescent="0.3">
      <c r="A1" t="s">
        <v>25</v>
      </c>
      <c r="C1" t="s">
        <v>27</v>
      </c>
      <c r="F1" t="s">
        <v>61</v>
      </c>
    </row>
    <row r="2" spans="1:6" x14ac:dyDescent="0.3">
      <c r="A2" t="s">
        <v>26</v>
      </c>
    </row>
    <row r="3" spans="1:6" x14ac:dyDescent="0.3">
      <c r="F3" t="s">
        <v>62</v>
      </c>
    </row>
    <row r="4" spans="1:6" x14ac:dyDescent="0.3">
      <c r="A4" t="s">
        <v>28</v>
      </c>
      <c r="C4" t="s">
        <v>30</v>
      </c>
    </row>
    <row r="5" spans="1:6" x14ac:dyDescent="0.3">
      <c r="A5" t="s">
        <v>29</v>
      </c>
      <c r="F5" t="s">
        <v>63</v>
      </c>
    </row>
    <row r="7" spans="1:6" x14ac:dyDescent="0.3">
      <c r="A7" t="s">
        <v>31</v>
      </c>
      <c r="C7" t="s">
        <v>33</v>
      </c>
      <c r="F7" t="s">
        <v>64</v>
      </c>
    </row>
    <row r="8" spans="1:6" x14ac:dyDescent="0.3">
      <c r="A8" t="s">
        <v>32</v>
      </c>
    </row>
    <row r="9" spans="1:6" x14ac:dyDescent="0.3">
      <c r="F9" t="s">
        <v>65</v>
      </c>
    </row>
    <row r="10" spans="1:6" x14ac:dyDescent="0.3">
      <c r="A10" t="s">
        <v>34</v>
      </c>
      <c r="C10" t="s">
        <v>36</v>
      </c>
    </row>
    <row r="11" spans="1:6" x14ac:dyDescent="0.3">
      <c r="A11" t="s">
        <v>35</v>
      </c>
      <c r="F11" t="s">
        <v>66</v>
      </c>
    </row>
    <row r="13" spans="1:6" x14ac:dyDescent="0.3">
      <c r="A13" t="s">
        <v>37</v>
      </c>
      <c r="C13" t="s">
        <v>39</v>
      </c>
      <c r="F13" t="s">
        <v>67</v>
      </c>
    </row>
    <row r="14" spans="1:6" x14ac:dyDescent="0.3">
      <c r="A14" t="s">
        <v>38</v>
      </c>
    </row>
    <row r="15" spans="1:6" x14ac:dyDescent="0.3">
      <c r="F15" t="s">
        <v>68</v>
      </c>
    </row>
    <row r="19" spans="2:3" x14ac:dyDescent="0.3">
      <c r="C19">
        <f>51/105</f>
        <v>0.48571428571428571</v>
      </c>
    </row>
    <row r="20" spans="2:3" x14ac:dyDescent="0.3">
      <c r="B20" t="s">
        <v>103</v>
      </c>
      <c r="C20">
        <f>50*C19</f>
        <v>24.285714285714285</v>
      </c>
    </row>
    <row r="21" spans="2:3" x14ac:dyDescent="0.3">
      <c r="B21" t="s">
        <v>102</v>
      </c>
      <c r="C21">
        <f>C20/50</f>
        <v>0.48571428571428571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30CC-D043-42AD-9735-5384BAB01CF2}">
  <dimension ref="A1:S30"/>
  <sheetViews>
    <sheetView tabSelected="1" workbookViewId="0">
      <selection activeCell="R26" sqref="R26"/>
    </sheetView>
  </sheetViews>
  <sheetFormatPr defaultRowHeight="14.4" x14ac:dyDescent="0.3"/>
  <cols>
    <col min="16" max="16" width="9.5546875" bestFit="1" customWidth="1"/>
  </cols>
  <sheetData>
    <row r="1" spans="1:19" x14ac:dyDescent="0.3">
      <c r="B1" s="27" t="s">
        <v>92</v>
      </c>
      <c r="C1" s="27"/>
      <c r="D1" s="27" t="s">
        <v>44</v>
      </c>
      <c r="E1" s="27"/>
      <c r="F1" s="27" t="s">
        <v>40</v>
      </c>
      <c r="G1" s="27"/>
      <c r="H1" s="27" t="s">
        <v>42</v>
      </c>
      <c r="I1" s="27"/>
      <c r="J1" s="27" t="s">
        <v>41</v>
      </c>
      <c r="K1" s="27"/>
      <c r="L1" s="27" t="s">
        <v>43</v>
      </c>
      <c r="M1" s="27"/>
    </row>
    <row r="2" spans="1:19" x14ac:dyDescent="0.3">
      <c r="B2" t="s">
        <v>13</v>
      </c>
      <c r="C2" t="s">
        <v>14</v>
      </c>
      <c r="D2" t="s">
        <v>13</v>
      </c>
      <c r="E2" t="s">
        <v>14</v>
      </c>
      <c r="F2" t="s">
        <v>13</v>
      </c>
      <c r="G2" t="s">
        <v>14</v>
      </c>
      <c r="H2" t="s">
        <v>13</v>
      </c>
      <c r="I2" t="s">
        <v>14</v>
      </c>
      <c r="J2" t="s">
        <v>13</v>
      </c>
      <c r="K2" t="s">
        <v>14</v>
      </c>
      <c r="L2" t="s">
        <v>13</v>
      </c>
      <c r="M2" t="s">
        <v>14</v>
      </c>
    </row>
    <row r="3" spans="1:19" x14ac:dyDescent="0.3">
      <c r="A3" t="s">
        <v>45</v>
      </c>
      <c r="B3">
        <v>0.71890419500000002</v>
      </c>
      <c r="C3">
        <v>0.51754420800000001</v>
      </c>
      <c r="D3">
        <v>0.74256682721908895</v>
      </c>
      <c r="E3">
        <v>0.51300855116411104</v>
      </c>
      <c r="F3">
        <v>0.68070390833163197</v>
      </c>
      <c r="G3">
        <v>0.48217147600167098</v>
      </c>
      <c r="H3" s="7">
        <v>0.67552074687531105</v>
      </c>
      <c r="I3" s="7">
        <v>0.47443686971123999</v>
      </c>
      <c r="J3">
        <v>0.66873925366831299</v>
      </c>
      <c r="K3">
        <v>0.45083401725859001</v>
      </c>
      <c r="L3">
        <v>0.66873925366831299</v>
      </c>
      <c r="M3">
        <v>0.45083401725859001</v>
      </c>
    </row>
    <row r="4" spans="1:19" x14ac:dyDescent="0.3">
      <c r="A4" t="s">
        <v>0</v>
      </c>
      <c r="B4">
        <v>0.92497979200000002</v>
      </c>
      <c r="C4">
        <v>0.67132530899999998</v>
      </c>
      <c r="D4">
        <v>0.92524250052119505</v>
      </c>
      <c r="E4">
        <v>0.66762151299245598</v>
      </c>
      <c r="F4">
        <v>0.88405445820787898</v>
      </c>
      <c r="G4">
        <v>0.63019923824829105</v>
      </c>
      <c r="H4" s="7">
        <v>0.90459602240857695</v>
      </c>
      <c r="I4" s="7">
        <v>0.64428164060110904</v>
      </c>
      <c r="J4">
        <v>0.89691244774739698</v>
      </c>
      <c r="K4">
        <v>0.63386025175822103</v>
      </c>
      <c r="L4">
        <v>0.89691244774739698</v>
      </c>
      <c r="M4">
        <v>0.63386025175822103</v>
      </c>
    </row>
    <row r="5" spans="1:19" x14ac:dyDescent="0.3">
      <c r="A5" t="s">
        <v>46</v>
      </c>
      <c r="B5">
        <v>0.72432141500000002</v>
      </c>
      <c r="C5">
        <v>0.30474037100000001</v>
      </c>
      <c r="D5">
        <v>0.67755765764447995</v>
      </c>
      <c r="E5">
        <v>0.29084575075541003</v>
      </c>
      <c r="F5">
        <v>0.67285361109098196</v>
      </c>
      <c r="G5">
        <v>0.26928770322183399</v>
      </c>
      <c r="H5" s="7">
        <v>0.67298634342561603</v>
      </c>
      <c r="I5" s="7">
        <v>0.266967462884943</v>
      </c>
      <c r="J5">
        <v>0.68822701393962404</v>
      </c>
      <c r="K5">
        <v>0.28522207219636903</v>
      </c>
      <c r="L5">
        <v>0.68822701393962404</v>
      </c>
      <c r="M5">
        <v>0.28522207219636903</v>
      </c>
    </row>
    <row r="6" spans="1:19" x14ac:dyDescent="0.3">
      <c r="A6" t="s">
        <v>1</v>
      </c>
      <c r="B6">
        <v>0.88829004300000003</v>
      </c>
      <c r="C6">
        <v>0.66391108600000004</v>
      </c>
      <c r="D6">
        <v>0.75803517744638405</v>
      </c>
      <c r="E6">
        <v>0.57517176255051705</v>
      </c>
      <c r="F6">
        <v>0.91713197700132698</v>
      </c>
      <c r="G6">
        <v>0.64152583219648196</v>
      </c>
      <c r="H6" s="7">
        <v>0.82998434535104304</v>
      </c>
      <c r="I6" s="7">
        <v>0.61159696807889796</v>
      </c>
      <c r="J6">
        <v>0.68073315293339298</v>
      </c>
      <c r="K6">
        <v>0.51115955084265996</v>
      </c>
      <c r="L6">
        <v>0.68073315293339298</v>
      </c>
      <c r="M6">
        <v>0.51115955084265996</v>
      </c>
    </row>
    <row r="7" spans="1:19" x14ac:dyDescent="0.3">
      <c r="A7" t="s">
        <v>47</v>
      </c>
      <c r="B7">
        <v>0.88673514600000003</v>
      </c>
      <c r="C7">
        <v>0.61757025600000004</v>
      </c>
      <c r="D7">
        <v>0.88754743978851902</v>
      </c>
      <c r="E7">
        <v>0.62914872098555696</v>
      </c>
      <c r="F7">
        <v>0.867763964420321</v>
      </c>
      <c r="G7">
        <v>0.60044197621746997</v>
      </c>
      <c r="H7" s="7">
        <v>0.86236873800712599</v>
      </c>
      <c r="I7" s="7">
        <v>0.60199945357213502</v>
      </c>
      <c r="J7">
        <v>0.86097770894372205</v>
      </c>
      <c r="K7">
        <v>0.59806576891543195</v>
      </c>
      <c r="L7">
        <v>0.86097770894372205</v>
      </c>
      <c r="M7">
        <v>0.59806576891543195</v>
      </c>
    </row>
    <row r="8" spans="1:19" x14ac:dyDescent="0.3">
      <c r="A8" t="s">
        <v>48</v>
      </c>
      <c r="B8">
        <v>0.80214764800000005</v>
      </c>
      <c r="C8">
        <v>0.57701178500000005</v>
      </c>
      <c r="D8">
        <v>0.79629326522786603</v>
      </c>
      <c r="E8">
        <v>0.51762603503510995</v>
      </c>
      <c r="F8">
        <v>0.72554603832194697</v>
      </c>
      <c r="G8">
        <v>0.51477958565131698</v>
      </c>
      <c r="H8" s="7">
        <v>0.80223057040998202</v>
      </c>
      <c r="I8" s="7">
        <v>0.53485903610463303</v>
      </c>
      <c r="J8">
        <v>0.73507073567094094</v>
      </c>
      <c r="K8">
        <v>0.53185098471661996</v>
      </c>
      <c r="L8">
        <v>0.73507073567094094</v>
      </c>
      <c r="M8">
        <v>0.53185098471661996</v>
      </c>
    </row>
    <row r="9" spans="1:19" x14ac:dyDescent="0.3">
      <c r="A9" t="s">
        <v>96</v>
      </c>
      <c r="B9">
        <f>AVERAGE(B3:B8)</f>
        <v>0.82422970650000005</v>
      </c>
      <c r="C9">
        <f t="shared" ref="C9:M9" si="0">AVERAGE(C3:C8)</f>
        <v>0.55868383583333336</v>
      </c>
      <c r="D9">
        <f t="shared" si="0"/>
        <v>0.79787381130792212</v>
      </c>
      <c r="E9">
        <f t="shared" si="0"/>
        <v>0.53223705558052681</v>
      </c>
      <c r="F9">
        <f t="shared" si="0"/>
        <v>0.79134232622901468</v>
      </c>
      <c r="G9">
        <f t="shared" si="0"/>
        <v>0.5230676352561775</v>
      </c>
      <c r="H9">
        <f t="shared" si="0"/>
        <v>0.7912811277462759</v>
      </c>
      <c r="I9">
        <f t="shared" si="0"/>
        <v>0.52235690515882638</v>
      </c>
      <c r="J9">
        <f t="shared" si="0"/>
        <v>0.75511005215056493</v>
      </c>
      <c r="K9">
        <f t="shared" si="0"/>
        <v>0.50183210761464858</v>
      </c>
      <c r="L9">
        <f t="shared" si="0"/>
        <v>0.75511005215056493</v>
      </c>
      <c r="M9">
        <f t="shared" si="0"/>
        <v>0.50183210761464858</v>
      </c>
    </row>
    <row r="11" spans="1:19" x14ac:dyDescent="0.3">
      <c r="B11" s="27" t="s">
        <v>92</v>
      </c>
      <c r="C11" s="27"/>
      <c r="D11" s="27" t="s">
        <v>44</v>
      </c>
      <c r="E11" s="27"/>
      <c r="F11" s="27" t="s">
        <v>40</v>
      </c>
      <c r="G11" s="27"/>
      <c r="H11" s="27" t="s">
        <v>42</v>
      </c>
      <c r="I11" s="27"/>
      <c r="J11" s="27" t="s">
        <v>41</v>
      </c>
      <c r="K11" s="27"/>
      <c r="L11" s="27" t="s">
        <v>43</v>
      </c>
      <c r="M11" s="27"/>
    </row>
    <row r="12" spans="1:19" x14ac:dyDescent="0.3">
      <c r="B12" t="s">
        <v>13</v>
      </c>
      <c r="C12" t="s">
        <v>14</v>
      </c>
      <c r="D12" t="s">
        <v>13</v>
      </c>
      <c r="E12" t="s">
        <v>14</v>
      </c>
      <c r="F12" t="s">
        <v>13</v>
      </c>
      <c r="G12" t="s">
        <v>14</v>
      </c>
      <c r="H12" t="s">
        <v>13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P12" t="s">
        <v>97</v>
      </c>
      <c r="Q12" t="s">
        <v>98</v>
      </c>
      <c r="R12" t="s">
        <v>99</v>
      </c>
      <c r="S12" t="s">
        <v>100</v>
      </c>
    </row>
    <row r="13" spans="1:19" x14ac:dyDescent="0.3">
      <c r="A13" t="s">
        <v>45</v>
      </c>
      <c r="B13">
        <v>0.74047132085</v>
      </c>
      <c r="C13">
        <v>0.53307053423999995</v>
      </c>
      <c r="D13">
        <v>0.74256682721908895</v>
      </c>
      <c r="E13">
        <v>0.51300855116411104</v>
      </c>
      <c r="F13">
        <v>0.68070390833163197</v>
      </c>
      <c r="G13">
        <v>0.48217147600167098</v>
      </c>
      <c r="H13" s="7">
        <v>0.67552074687531105</v>
      </c>
      <c r="I13" s="7">
        <v>0.47443686971123999</v>
      </c>
      <c r="J13">
        <v>0.66873925366831299</v>
      </c>
      <c r="K13">
        <v>0.45083401725859001</v>
      </c>
      <c r="L13">
        <v>0.66071438295200002</v>
      </c>
      <c r="M13">
        <v>0.44542400879599903</v>
      </c>
      <c r="P13">
        <v>0.74047132085</v>
      </c>
      <c r="Q13">
        <v>0.53307053423999995</v>
      </c>
      <c r="R13">
        <v>0.66071438295200002</v>
      </c>
      <c r="S13">
        <v>0.44542400879599903</v>
      </c>
    </row>
    <row r="14" spans="1:19" x14ac:dyDescent="0.3">
      <c r="A14" t="s">
        <v>0</v>
      </c>
      <c r="B14">
        <v>0.95272918575999999</v>
      </c>
      <c r="C14">
        <v>0.69146506826999998</v>
      </c>
      <c r="D14">
        <v>0.92524250052119505</v>
      </c>
      <c r="E14">
        <v>0.66762151299245598</v>
      </c>
      <c r="F14">
        <v>0.88405445820787898</v>
      </c>
      <c r="G14">
        <v>0.63019923824829105</v>
      </c>
      <c r="H14" s="7">
        <v>0.90459602240857695</v>
      </c>
      <c r="I14" s="7">
        <v>0.64428164060110904</v>
      </c>
      <c r="J14">
        <v>0.89691244774739698</v>
      </c>
      <c r="K14">
        <v>0.63386025175822103</v>
      </c>
      <c r="L14">
        <v>0.88614949862400005</v>
      </c>
      <c r="M14">
        <v>0.62625392897599996</v>
      </c>
      <c r="P14">
        <v>0.95272918575999999</v>
      </c>
      <c r="Q14">
        <v>0.69146506826999998</v>
      </c>
      <c r="R14">
        <v>0.88614949862400005</v>
      </c>
      <c r="S14">
        <v>0.62625392897599996</v>
      </c>
    </row>
    <row r="15" spans="1:19" x14ac:dyDescent="0.3">
      <c r="A15" t="s">
        <v>46</v>
      </c>
      <c r="B15">
        <v>0.74605105745</v>
      </c>
      <c r="C15">
        <v>0.31388258212999998</v>
      </c>
      <c r="D15">
        <v>0.67755765764447995</v>
      </c>
      <c r="E15">
        <v>0.29084575075541003</v>
      </c>
      <c r="F15">
        <v>0.67285361109098196</v>
      </c>
      <c r="G15">
        <v>0.26928770322183399</v>
      </c>
      <c r="H15" s="7">
        <v>0.67298634342561603</v>
      </c>
      <c r="I15" s="7">
        <v>0.266967462884943</v>
      </c>
      <c r="J15">
        <v>0.68822701393962404</v>
      </c>
      <c r="K15">
        <v>0.28522207219636903</v>
      </c>
      <c r="L15">
        <v>0.67996828983199997</v>
      </c>
      <c r="M15">
        <v>0.28179940713599999</v>
      </c>
      <c r="P15">
        <v>0.74605105745</v>
      </c>
      <c r="Q15">
        <v>0.31388258212999998</v>
      </c>
      <c r="R15">
        <v>0.67996828983199997</v>
      </c>
      <c r="S15">
        <v>0.28179940713599999</v>
      </c>
    </row>
    <row r="16" spans="1:19" x14ac:dyDescent="0.3">
      <c r="A16" t="s">
        <v>1</v>
      </c>
      <c r="B16">
        <v>0.91493874428999999</v>
      </c>
      <c r="C16">
        <v>0.68382841857999999</v>
      </c>
      <c r="D16">
        <v>0.75803517744638405</v>
      </c>
      <c r="E16">
        <v>0.57517176255051705</v>
      </c>
      <c r="F16">
        <v>0.91713197700132698</v>
      </c>
      <c r="G16">
        <v>0.64152583219648196</v>
      </c>
      <c r="H16" s="7">
        <v>0.82998434535104304</v>
      </c>
      <c r="I16" s="7">
        <v>0.61159696807889796</v>
      </c>
      <c r="J16">
        <v>0.68073315293339298</v>
      </c>
      <c r="K16">
        <v>0.51115955084265996</v>
      </c>
      <c r="L16">
        <v>0.67256435516400004</v>
      </c>
      <c r="M16">
        <v>0.50502563638800002</v>
      </c>
      <c r="P16">
        <v>0.91493874428999999</v>
      </c>
      <c r="Q16">
        <v>0.68382841857999999</v>
      </c>
      <c r="R16">
        <v>0.67256435516400004</v>
      </c>
      <c r="S16">
        <v>0.50502563638800002</v>
      </c>
    </row>
    <row r="17" spans="1:19" x14ac:dyDescent="0.3">
      <c r="A17" t="s">
        <v>47</v>
      </c>
      <c r="B17">
        <v>0.91333720037999999</v>
      </c>
      <c r="C17">
        <v>0.63609736368000003</v>
      </c>
      <c r="D17">
        <v>0.88754743978851902</v>
      </c>
      <c r="E17">
        <v>0.62914872098555696</v>
      </c>
      <c r="F17">
        <v>0.867763964420321</v>
      </c>
      <c r="G17">
        <v>0.60044197621746997</v>
      </c>
      <c r="H17" s="7">
        <v>0.86236873800712599</v>
      </c>
      <c r="I17" s="7">
        <v>0.60199945357213502</v>
      </c>
      <c r="J17">
        <v>0.86097770894372205</v>
      </c>
      <c r="K17">
        <v>0.59806576891543195</v>
      </c>
      <c r="L17">
        <v>0.85064597649200002</v>
      </c>
      <c r="M17">
        <v>0.59088897977199994</v>
      </c>
      <c r="P17">
        <v>0.91333720037999999</v>
      </c>
      <c r="Q17">
        <v>0.63609736368000003</v>
      </c>
      <c r="R17">
        <v>0.85064597649200002</v>
      </c>
      <c r="S17">
        <v>0.59088897977199994</v>
      </c>
    </row>
    <row r="18" spans="1:19" x14ac:dyDescent="0.3">
      <c r="A18" t="s">
        <v>48</v>
      </c>
      <c r="B18">
        <v>0.82621207744000003</v>
      </c>
      <c r="C18">
        <v>0.59432213855000005</v>
      </c>
      <c r="D18">
        <v>0.79629326522786603</v>
      </c>
      <c r="E18">
        <v>0.51762603503510995</v>
      </c>
      <c r="F18">
        <v>0.72554603832194697</v>
      </c>
      <c r="G18">
        <v>0.51477958565131698</v>
      </c>
      <c r="H18" s="7">
        <v>0.80223057040998202</v>
      </c>
      <c r="I18" s="7">
        <v>0.53485903610463303</v>
      </c>
      <c r="J18">
        <v>0.73507073567094094</v>
      </c>
      <c r="K18">
        <v>0.53185098471661996</v>
      </c>
      <c r="L18">
        <v>0.72624988716799999</v>
      </c>
      <c r="M18">
        <v>0.52546877317999996</v>
      </c>
      <c r="P18">
        <v>0.82621207744000003</v>
      </c>
      <c r="Q18">
        <v>0.59432213855000005</v>
      </c>
      <c r="R18">
        <v>0.72624988716799999</v>
      </c>
      <c r="S18">
        <v>0.52546877317999996</v>
      </c>
    </row>
    <row r="19" spans="1:19" x14ac:dyDescent="0.3">
      <c r="A19" t="s">
        <v>96</v>
      </c>
      <c r="B19">
        <f>AVERAGE(B13:B18)</f>
        <v>0.84895659769499998</v>
      </c>
      <c r="C19">
        <f t="shared" ref="C19:M19" si="1">AVERAGE(C13:C18)</f>
        <v>0.57544435090833324</v>
      </c>
      <c r="D19">
        <f t="shared" si="1"/>
        <v>0.79787381130792212</v>
      </c>
      <c r="E19">
        <f t="shared" si="1"/>
        <v>0.53223705558052681</v>
      </c>
      <c r="F19">
        <f t="shared" si="1"/>
        <v>0.79134232622901468</v>
      </c>
      <c r="G19">
        <f t="shared" si="1"/>
        <v>0.5230676352561775</v>
      </c>
      <c r="H19">
        <f t="shared" si="1"/>
        <v>0.7912811277462759</v>
      </c>
      <c r="I19">
        <f t="shared" si="1"/>
        <v>0.52235690515882638</v>
      </c>
      <c r="J19">
        <f t="shared" si="1"/>
        <v>0.75511005215056493</v>
      </c>
      <c r="K19">
        <f t="shared" si="1"/>
        <v>0.50183210761464858</v>
      </c>
      <c r="L19">
        <f t="shared" si="1"/>
        <v>0.74604873170533326</v>
      </c>
      <c r="M19">
        <f t="shared" si="1"/>
        <v>0.49581012237466648</v>
      </c>
      <c r="P19">
        <v>0.84895659821000002</v>
      </c>
      <c r="Q19">
        <v>0.57544435108000003</v>
      </c>
      <c r="R19">
        <v>0.74604873137600003</v>
      </c>
      <c r="S19">
        <v>0.49581012270399999</v>
      </c>
    </row>
    <row r="22" spans="1:19" x14ac:dyDescent="0.3">
      <c r="B22" s="27" t="s">
        <v>92</v>
      </c>
      <c r="C22" s="27"/>
      <c r="D22" s="27" t="s">
        <v>44</v>
      </c>
      <c r="E22" s="27"/>
      <c r="F22" s="27" t="s">
        <v>40</v>
      </c>
      <c r="G22" s="27"/>
      <c r="H22" s="27" t="s">
        <v>42</v>
      </c>
      <c r="I22" s="27"/>
      <c r="J22" s="27" t="s">
        <v>41</v>
      </c>
      <c r="K22" s="27"/>
      <c r="L22" s="27" t="s">
        <v>43</v>
      </c>
      <c r="M22" s="27"/>
    </row>
    <row r="23" spans="1:19" x14ac:dyDescent="0.3">
      <c r="B23" t="s">
        <v>14</v>
      </c>
      <c r="D23" t="s">
        <v>14</v>
      </c>
      <c r="F23" t="s">
        <v>14</v>
      </c>
      <c r="H23" t="s">
        <v>14</v>
      </c>
      <c r="J23" t="s">
        <v>14</v>
      </c>
      <c r="L23" t="s">
        <v>14</v>
      </c>
      <c r="P23" t="s">
        <v>96</v>
      </c>
    </row>
    <row r="24" spans="1:19" x14ac:dyDescent="0.3">
      <c r="A24" t="s">
        <v>45</v>
      </c>
      <c r="B24">
        <v>0.74047132085</v>
      </c>
      <c r="D24">
        <v>0.74256682721908895</v>
      </c>
      <c r="F24">
        <v>0.68070390833163197</v>
      </c>
      <c r="H24" s="7">
        <v>0.67552074687531105</v>
      </c>
      <c r="I24" s="7"/>
      <c r="J24">
        <v>0.66873925366831299</v>
      </c>
      <c r="L24">
        <v>0.66071438295200002</v>
      </c>
      <c r="O24" t="s">
        <v>45</v>
      </c>
      <c r="P24" s="29">
        <v>0.85099999999999998</v>
      </c>
    </row>
    <row r="25" spans="1:19" x14ac:dyDescent="0.3">
      <c r="A25" t="s">
        <v>0</v>
      </c>
      <c r="B25">
        <v>0.95272918575999999</v>
      </c>
      <c r="D25">
        <v>0.92524250052119505</v>
      </c>
      <c r="F25">
        <v>0.88405445820787898</v>
      </c>
      <c r="H25" s="7">
        <v>0.90459602240857695</v>
      </c>
      <c r="I25" s="7"/>
      <c r="J25">
        <v>0.89691244774739698</v>
      </c>
      <c r="L25">
        <v>0.88614949862400005</v>
      </c>
      <c r="O25" t="s">
        <v>0</v>
      </c>
      <c r="P25" s="29">
        <v>0.97499999999999998</v>
      </c>
    </row>
    <row r="26" spans="1:19" x14ac:dyDescent="0.3">
      <c r="A26" t="s">
        <v>46</v>
      </c>
      <c r="B26">
        <v>0.74605105745</v>
      </c>
      <c r="D26">
        <v>0.67755765764447995</v>
      </c>
      <c r="F26">
        <v>0.67285361109098196</v>
      </c>
      <c r="H26" s="7">
        <v>0.67298634342561603</v>
      </c>
      <c r="I26" s="7"/>
      <c r="J26">
        <v>0.68822701393962404</v>
      </c>
      <c r="L26">
        <v>0.67996828983199997</v>
      </c>
      <c r="O26" t="s">
        <v>46</v>
      </c>
      <c r="P26" s="29">
        <v>0.86</v>
      </c>
    </row>
    <row r="27" spans="1:19" x14ac:dyDescent="0.3">
      <c r="A27" t="s">
        <v>1</v>
      </c>
      <c r="B27">
        <v>0.91493874428999999</v>
      </c>
      <c r="D27">
        <v>0.75803517744638405</v>
      </c>
      <c r="F27">
        <v>0.91713197700132698</v>
      </c>
      <c r="H27" s="7">
        <v>0.82998434535104304</v>
      </c>
      <c r="I27" s="7"/>
      <c r="J27">
        <v>0.68073315293339298</v>
      </c>
      <c r="L27">
        <v>0.67256435516400004</v>
      </c>
      <c r="O27" t="s">
        <v>1</v>
      </c>
      <c r="P27" s="29">
        <v>0.94899999999999995</v>
      </c>
    </row>
    <row r="28" spans="1:19" x14ac:dyDescent="0.3">
      <c r="A28" t="s">
        <v>47</v>
      </c>
      <c r="B28">
        <v>0.91333720037999999</v>
      </c>
      <c r="D28">
        <v>0.88754743978851902</v>
      </c>
      <c r="F28">
        <v>0.867763964420321</v>
      </c>
      <c r="H28" s="7">
        <v>0.86236873800712599</v>
      </c>
      <c r="I28" s="7"/>
      <c r="J28">
        <v>0.86097770894372205</v>
      </c>
      <c r="L28">
        <v>0.85064597649200002</v>
      </c>
      <c r="O28" t="s">
        <v>47</v>
      </c>
      <c r="P28" s="29">
        <v>0.93400000000000005</v>
      </c>
    </row>
    <row r="29" spans="1:19" x14ac:dyDescent="0.3">
      <c r="A29" t="s">
        <v>48</v>
      </c>
      <c r="B29">
        <v>0.82621207744000003</v>
      </c>
      <c r="D29">
        <v>0.79629326522786603</v>
      </c>
      <c r="F29">
        <v>0.72554603832194697</v>
      </c>
      <c r="H29" s="7">
        <v>0.80223057040998202</v>
      </c>
      <c r="I29" s="7"/>
      <c r="J29">
        <v>0.73507073567094094</v>
      </c>
      <c r="L29">
        <v>0.72624988716799999</v>
      </c>
      <c r="O29" t="s">
        <v>48</v>
      </c>
      <c r="P29" s="29">
        <v>0.91100000000000003</v>
      </c>
    </row>
    <row r="30" spans="1:19" x14ac:dyDescent="0.3">
      <c r="A30" t="s">
        <v>96</v>
      </c>
      <c r="B30">
        <f>AVERAGE(B24:B29)</f>
        <v>0.84895659769499998</v>
      </c>
      <c r="D30">
        <f t="shared" ref="D30" si="2">AVERAGE(D24:D29)</f>
        <v>0.79787381130792212</v>
      </c>
      <c r="F30">
        <f t="shared" ref="F30" si="3">AVERAGE(F24:F29)</f>
        <v>0.79134232622901468</v>
      </c>
      <c r="H30">
        <f t="shared" ref="H30" si="4">AVERAGE(H24:H29)</f>
        <v>0.7912811277462759</v>
      </c>
      <c r="J30">
        <f t="shared" ref="J30" si="5">AVERAGE(J24:J29)</f>
        <v>0.75511005215056493</v>
      </c>
      <c r="L30">
        <f t="shared" ref="L30" si="6">AVERAGE(L24:L29)</f>
        <v>0.74604873170533326</v>
      </c>
      <c r="O30" t="s">
        <v>96</v>
      </c>
      <c r="P30">
        <f>AVERAGE(P24:P29)</f>
        <v>0.91333333333333344</v>
      </c>
    </row>
  </sheetData>
  <mergeCells count="18">
    <mergeCell ref="L1:M1"/>
    <mergeCell ref="B1:C1"/>
    <mergeCell ref="D1:E1"/>
    <mergeCell ref="F1:G1"/>
    <mergeCell ref="H1:I1"/>
    <mergeCell ref="J1:K1"/>
    <mergeCell ref="L22:M22"/>
    <mergeCell ref="B11:C11"/>
    <mergeCell ref="D11:E11"/>
    <mergeCell ref="F11:G11"/>
    <mergeCell ref="H11:I11"/>
    <mergeCell ref="J11:K11"/>
    <mergeCell ref="L11:M11"/>
    <mergeCell ref="B22:C22"/>
    <mergeCell ref="D22:E22"/>
    <mergeCell ref="F22:G22"/>
    <mergeCell ref="H22:I22"/>
    <mergeCell ref="J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Train-CM (2)</vt:lpstr>
      <vt:lpstr>Train-CM</vt:lpstr>
      <vt:lpstr>Trg_CM</vt:lpstr>
      <vt:lpstr>Val-CM</vt:lpstr>
      <vt:lpstr>CMs_Combined</vt:lpstr>
      <vt:lpstr>Test-CM</vt:lpstr>
      <vt:lpstr>Train-Score</vt:lpstr>
      <vt:lpstr>Sheet1</vt:lpstr>
      <vt:lpstr>Test-Score</vt:lpstr>
      <vt:lpstr>Time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Camille Heller</cp:lastModifiedBy>
  <dcterms:created xsi:type="dcterms:W3CDTF">2025-04-19T06:28:56Z</dcterms:created>
  <dcterms:modified xsi:type="dcterms:W3CDTF">2025-05-06T06:19:17Z</dcterms:modified>
</cp:coreProperties>
</file>